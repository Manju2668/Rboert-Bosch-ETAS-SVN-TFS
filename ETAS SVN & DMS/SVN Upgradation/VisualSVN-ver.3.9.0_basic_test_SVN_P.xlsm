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DieseArbeitsmappe"/>
  <mc:AlternateContent xmlns:mc="http://schemas.openxmlformats.org/markup-compatibility/2006">
    <mc:Choice Requires="x15">
      <x15ac:absPath xmlns:x15ac="http://schemas.microsoft.com/office/spreadsheetml/2010/11/ac" url="C:\Users\evm2kor\Desktop\MANJU\SVN Upgradation\"/>
    </mc:Choice>
  </mc:AlternateContent>
  <bookViews>
    <workbookView xWindow="2360" yWindow="1310" windowWidth="15180" windowHeight="8930" activeTab="4"/>
  </bookViews>
  <sheets>
    <sheet name="Meta Data" sheetId="34" r:id="rId1"/>
    <sheet name="Readme" sheetId="12" r:id="rId2"/>
    <sheet name="Environment" sheetId="33" state="hidden" r:id="rId3"/>
    <sheet name="Summary" sheetId="11" r:id="rId4"/>
    <sheet name="TestCycle1" sheetId="40" r:id="rId5"/>
  </sheets>
  <definedNames>
    <definedName name="_xlnm._FilterDatabase" localSheetId="4" hidden="1">TestCycle1!$A$10:$J$20</definedName>
    <definedName name="_xlnm.Print_Area" localSheetId="0">'Meta Data'!$B$2:$E$28</definedName>
    <definedName name="_xlnm.Print_Area" localSheetId="3">Summary!$A$1:$U$35</definedName>
    <definedName name="_xlnm.Print_Area" localSheetId="4">TestCycle1!$A$1:$J$18</definedName>
  </definedNames>
  <calcPr calcId="162913"/>
</workbook>
</file>

<file path=xl/calcChain.xml><?xml version="1.0" encoding="utf-8"?>
<calcChain xmlns="http://schemas.openxmlformats.org/spreadsheetml/2006/main">
  <c r="C7" i="11" l="1"/>
  <c r="C6" i="11"/>
  <c r="C5" i="11"/>
  <c r="C8" i="11" l="1"/>
  <c r="G3" i="40"/>
  <c r="G4" i="40"/>
  <c r="G5" i="40"/>
  <c r="G2" i="40"/>
  <c r="G8" i="11"/>
  <c r="G7" i="11"/>
  <c r="G6" i="11"/>
  <c r="G5" i="11"/>
  <c r="A5" i="40"/>
  <c r="A1" i="40"/>
  <c r="F8" i="11"/>
  <c r="F7" i="11"/>
  <c r="F6" i="11"/>
  <c r="F5" i="11"/>
  <c r="E8" i="11"/>
  <c r="E7" i="11"/>
  <c r="E6" i="11"/>
  <c r="E5" i="11"/>
  <c r="D8" i="11"/>
  <c r="D7" i="11"/>
  <c r="D6" i="11"/>
  <c r="D5" i="11"/>
  <c r="G6" i="40" l="1"/>
  <c r="B8" i="11" s="1"/>
  <c r="A2" i="33"/>
  <c r="A2" i="11"/>
  <c r="A1" i="11"/>
  <c r="A1" i="33"/>
  <c r="B4" i="34"/>
  <c r="B2" i="34"/>
  <c r="B5" i="11"/>
  <c r="B7" i="11" l="1"/>
  <c r="B6" i="11"/>
</calcChain>
</file>

<file path=xl/comments1.xml><?xml version="1.0" encoding="utf-8"?>
<comments xmlns="http://schemas.openxmlformats.org/spreadsheetml/2006/main">
  <authors>
    <author>Hellebrand (Wolfgang)</author>
  </authors>
  <commentList>
    <comment ref="A10" authorId="0" shapeId="0">
      <text>
        <r>
          <rPr>
            <b/>
            <sz val="9"/>
            <color indexed="81"/>
            <rFont val="Tahoma"/>
            <family val="2"/>
          </rPr>
          <t xml:space="preserve">Test No.
</t>
        </r>
        <r>
          <rPr>
            <sz val="9"/>
            <color indexed="81"/>
            <rFont val="Tahoma"/>
            <family val="2"/>
          </rPr>
          <t>Give each test a unique number for later user
When cell 'Test description' is filled, a test  number is generated automatically</t>
        </r>
        <r>
          <rPr>
            <b/>
            <sz val="9"/>
            <color indexed="81"/>
            <rFont val="Tahoma"/>
            <family val="2"/>
          </rPr>
          <t xml:space="preserve">
</t>
        </r>
      </text>
    </comment>
    <comment ref="B10" authorId="0" shapeId="0">
      <text>
        <r>
          <rPr>
            <b/>
            <sz val="9"/>
            <color indexed="81"/>
            <rFont val="Tahoma"/>
            <family val="2"/>
          </rPr>
          <t xml:space="preserve">Test Case Name (at least one is mandatory)
</t>
        </r>
        <r>
          <rPr>
            <sz val="9"/>
            <color indexed="81"/>
            <rFont val="Tahoma"/>
            <family val="2"/>
          </rPr>
          <t>Describe in few words the topic of the test case containing 1..n test steps.
Multiple test steps may have the same title
Examples: 
“Change Database”
“Open experiment from Workspace”</t>
        </r>
      </text>
    </comment>
    <comment ref="C10" authorId="0" shapeId="0">
      <text>
        <r>
          <rPr>
            <b/>
            <sz val="9"/>
            <color indexed="81"/>
            <rFont val="Tahoma"/>
            <family val="2"/>
          </rPr>
          <t xml:space="preserve">Test description (mandatory)
</t>
        </r>
        <r>
          <rPr>
            <sz val="9"/>
            <color indexed="81"/>
            <rFont val="Tahoma"/>
            <family val="2"/>
          </rPr>
          <t>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text>
    </comment>
    <comment ref="D10" authorId="0" shapeId="0">
      <text>
        <r>
          <rPr>
            <b/>
            <sz val="9"/>
            <color indexed="81"/>
            <rFont val="Tahoma"/>
            <family val="2"/>
          </rPr>
          <t>Traceability (Caliber Reference to TestItem (mandatory)</t>
        </r>
        <r>
          <rPr>
            <sz val="9"/>
            <color indexed="81"/>
            <rFont val="Tahoma"/>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text>
    </comment>
    <comment ref="E10" authorId="0" shapeId="0">
      <text>
        <r>
          <rPr>
            <b/>
            <sz val="9"/>
            <color indexed="81"/>
            <rFont val="Tahoma"/>
            <family val="2"/>
          </rPr>
          <t>Test environment (at least one is mandatory)</t>
        </r>
        <r>
          <rPr>
            <sz val="9"/>
            <color indexed="81"/>
            <rFont val="Tahoma"/>
            <family val="2"/>
          </rPr>
          <t xml:space="preserve">
Provide a complete description of the test environment (SW and / or HW Versions incl. alpha or beta version)
Either provide the environment information in the Environment tab or insert a reference to the environment specified in the separate worksheet</t>
        </r>
      </text>
    </comment>
    <comment ref="F10" authorId="0" shapeId="0">
      <text>
        <r>
          <rPr>
            <b/>
            <sz val="9"/>
            <color indexed="81"/>
            <rFont val="Tahoma"/>
            <family val="2"/>
          </rPr>
          <t>Result (mandatory)</t>
        </r>
        <r>
          <rPr>
            <sz val="9"/>
            <color indexed="81"/>
            <rFont val="Tahoma"/>
            <family val="2"/>
          </rPr>
          <t xml:space="preserve">
Select the result of the test from the list.
Leave this field empty if this test step is skipped.
Skipped tests are displayed in grey in the progress bar.</t>
        </r>
      </text>
    </comment>
    <comment ref="G10" authorId="0" shapeId="0">
      <text>
        <r>
          <rPr>
            <b/>
            <sz val="9"/>
            <color indexed="81"/>
            <rFont val="Tahoma"/>
            <family val="2"/>
          </rPr>
          <t>Priority (optional)</t>
        </r>
        <r>
          <rPr>
            <sz val="9"/>
            <color indexed="81"/>
            <rFont val="Tahoma"/>
            <family val="2"/>
          </rPr>
          <t xml:space="preserve">
If the test fails select the priority for the bug fix
Leave this field empty if there is no error
If you want to use more then one priority in one cell, you have to disable the data validation in the data ribbon: Change the data validation setting from 'list' to 'any value' - this enables the usage of specific entries here
</t>
        </r>
      </text>
    </comment>
    <comment ref="H10" authorId="0" shapeId="0">
      <text>
        <r>
          <rPr>
            <b/>
            <sz val="9"/>
            <color indexed="81"/>
            <rFont val="Tahoma"/>
            <family val="2"/>
          </rPr>
          <t>Call Number (EHI / TFS number, optional)</t>
        </r>
        <r>
          <rPr>
            <sz val="9"/>
            <color indexed="81"/>
            <rFont val="Tahoma"/>
            <family val="2"/>
          </rPr>
          <t xml:space="preserve">
For all failed tests please generate an Bugfix report (EHI Call, TFS ticket)l 
Enter the call number here
</t>
        </r>
      </text>
    </comment>
    <comment ref="I10" authorId="0" shapeId="0">
      <text>
        <r>
          <rPr>
            <b/>
            <sz val="9"/>
            <color indexed="81"/>
            <rFont val="Tahoma"/>
            <family val="2"/>
          </rPr>
          <t>Comment (optional)</t>
        </r>
        <r>
          <rPr>
            <sz val="9"/>
            <color indexed="81"/>
            <rFont val="Tahoma"/>
            <family val="2"/>
          </rPr>
          <t xml:space="preserve">
Insert additional information on the test case, e.g. that describes the failure, describes the given result and what you have expected
The comment is mandatory if the result is different to "OK". The decission to skip or shift anyway has to be approved with reason for approval before release.</t>
        </r>
      </text>
    </comment>
    <comment ref="J10" authorId="0" shapeId="0">
      <text>
        <r>
          <rPr>
            <b/>
            <sz val="9"/>
            <color indexed="81"/>
            <rFont val="Tahoma"/>
            <family val="2"/>
          </rPr>
          <t>Link to Test Records (Optional)</t>
        </r>
        <r>
          <rPr>
            <sz val="9"/>
            <color indexed="81"/>
            <rFont val="Tahoma"/>
            <family val="2"/>
          </rPr>
          <t xml:space="preserve">
Use this cell for referencing test records, 
e.g. measure data files, logfiles</t>
        </r>
      </text>
    </comment>
  </commentList>
</comments>
</file>

<file path=xl/sharedStrings.xml><?xml version="1.0" encoding="utf-8"?>
<sst xmlns="http://schemas.openxmlformats.org/spreadsheetml/2006/main" count="128" uniqueCount="108">
  <si>
    <t>Result</t>
  </si>
  <si>
    <t>Test description</t>
  </si>
  <si>
    <t>Error</t>
  </si>
  <si>
    <t>Prio</t>
  </si>
  <si>
    <t>OK</t>
  </si>
  <si>
    <t>Author</t>
  </si>
  <si>
    <t>Date</t>
  </si>
  <si>
    <t>Comment</t>
  </si>
  <si>
    <t>Call No.</t>
  </si>
  <si>
    <t>Summary</t>
  </si>
  <si>
    <t>Not tested</t>
  </si>
  <si>
    <t>Test
No.</t>
  </si>
  <si>
    <t>PC type</t>
  </si>
  <si>
    <t>Operating system</t>
  </si>
  <si>
    <t>Language of OS</t>
  </si>
  <si>
    <t>Test environment</t>
  </si>
  <si>
    <t>Tester:</t>
  </si>
  <si>
    <t>Date:</t>
  </si>
  <si>
    <t>Warning</t>
  </si>
  <si>
    <t>Traceability
(Caliber Reference)</t>
  </si>
  <si>
    <t>Caliber Database(s):</t>
  </si>
  <si>
    <t>NA</t>
  </si>
  <si>
    <t>Test Case Name</t>
  </si>
  <si>
    <t>Test Cycle</t>
  </si>
  <si>
    <r>
      <t xml:space="preserve">Environment (optional)
</t>
    </r>
    <r>
      <rPr>
        <sz val="10"/>
        <rFont val="Arial"/>
        <family val="2"/>
      </rPr>
      <t>This page documents the reference system for testing
Either the test environment may be described here and gets referenced in the test cycle worksheet or the environment is specified directly in the test cycle worksheet</t>
    </r>
  </si>
  <si>
    <t>Document Meta Data:</t>
  </si>
  <si>
    <t>Product (Name and Version)</t>
  </si>
  <si>
    <t>Document Status</t>
  </si>
  <si>
    <t>Draft</t>
  </si>
  <si>
    <t>Version</t>
  </si>
  <si>
    <t>Change (Why, What)</t>
  </si>
  <si>
    <t>01</t>
  </si>
  <si>
    <t>Initial version</t>
  </si>
  <si>
    <t>Do not renname the tabs, because some data is inserted automatically</t>
  </si>
  <si>
    <r>
      <t xml:space="preserve">Call Number (EHI / TFS number, optional)
</t>
    </r>
    <r>
      <rPr>
        <sz val="10"/>
        <rFont val="Arial"/>
        <family val="2"/>
      </rPr>
      <t xml:space="preserve">For all failed tests please generate an Bugfix report (EHI Call, TFS ticket)l 
Enter the call number here
</t>
    </r>
  </si>
  <si>
    <r>
      <t xml:space="preserve">Comment (optional)
</t>
    </r>
    <r>
      <rPr>
        <sz val="10"/>
        <rFont val="Arial"/>
        <family val="2"/>
      </rPr>
      <t>Insert additional information on the test case, e.g. that describes the failure, describes the given result and what you have expected</t>
    </r>
  </si>
  <si>
    <t>Fill in your data only in 'white' cells, not in the grey ones. Where text is listed in &lt;..&gt;, a data entry is mandatory</t>
  </si>
  <si>
    <r>
      <t xml:space="preserve">Summary
</t>
    </r>
    <r>
      <rPr>
        <sz val="10"/>
        <rFont val="Arial"/>
        <family val="2"/>
      </rPr>
      <t>This page summarises all test results from all test cycles versions in one graph
The data in cells B4:U8 are filled in automatically when a new test cycle is created by using the 'crate new worksheet' macro.
Do not insert manually data here in the table!</t>
    </r>
  </si>
  <si>
    <t>Environment data:</t>
  </si>
  <si>
    <t>Setup A</t>
  </si>
  <si>
    <t>Setup B</t>
  </si>
  <si>
    <t>Setup C</t>
  </si>
  <si>
    <t>OS Environment</t>
  </si>
  <si>
    <t>Setup D</t>
  </si>
  <si>
    <r>
      <t>Test No.</t>
    </r>
    <r>
      <rPr>
        <sz val="10"/>
        <rFont val="Arial"/>
        <family val="2"/>
      </rPr>
      <t xml:space="preserve">
</t>
    </r>
    <r>
      <rPr>
        <b/>
        <sz val="10"/>
        <color indexed="10"/>
        <rFont val="Arial"/>
        <family val="2"/>
      </rPr>
      <t>Give each test step a unique number for later use or referencing single tests.</t>
    </r>
    <r>
      <rPr>
        <sz val="10"/>
        <rFont val="Arial"/>
        <family val="2"/>
      </rPr>
      <t xml:space="preserve">
When cell 'Test description' is filled, a test  number is generated automatically.</t>
    </r>
  </si>
  <si>
    <r>
      <rPr>
        <b/>
        <sz val="10"/>
        <color indexed="10"/>
        <rFont val="Arial"/>
        <family val="2"/>
      </rPr>
      <t>Test Case Name</t>
    </r>
    <r>
      <rPr>
        <b/>
        <sz val="10"/>
        <rFont val="Arial"/>
        <family val="2"/>
      </rPr>
      <t xml:space="preserve"> (at least one is mandatory)</t>
    </r>
    <r>
      <rPr>
        <sz val="10"/>
        <rFont val="Arial"/>
        <family val="2"/>
      </rPr>
      <t xml:space="preserve">
Describe in few words the topic of the test case containing 1..n test steps.
Multiple test steps may have the same title
Examples: 
“Change Database”, “Open experiment from Workspace”</t>
    </r>
  </si>
  <si>
    <r>
      <rPr>
        <b/>
        <sz val="10"/>
        <color indexed="10"/>
        <rFont val="Arial"/>
        <family val="2"/>
      </rPr>
      <t>Test description</t>
    </r>
    <r>
      <rPr>
        <b/>
        <sz val="10"/>
        <rFont val="Arial"/>
        <family val="2"/>
      </rPr>
      <t xml:space="preserve"> (mandatory)</t>
    </r>
    <r>
      <rPr>
        <sz val="10"/>
        <rFont val="Arial"/>
        <family val="2"/>
      </rPr>
      <t xml:space="preserve">
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</si>
  <si>
    <r>
      <rPr>
        <b/>
        <sz val="10"/>
        <color indexed="10"/>
        <rFont val="Arial"/>
        <family val="2"/>
      </rPr>
      <t>Traceability</t>
    </r>
    <r>
      <rPr>
        <b/>
        <sz val="10"/>
        <rFont val="Arial"/>
        <family val="2"/>
      </rPr>
      <t xml:space="preserve"> (Caliber Reference to TestItem (mandatory)</t>
    </r>
    <r>
      <rPr>
        <sz val="10"/>
        <rFont val="Arial"/>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</si>
  <si>
    <r>
      <t xml:space="preserve">Link to Test Records (Optional)
</t>
    </r>
    <r>
      <rPr>
        <sz val="10"/>
        <rFont val="Arial"/>
        <family val="2"/>
      </rPr>
      <t>Use this cell for referencing test records, 
e.g. measure data files, logfiles</t>
    </r>
  </si>
  <si>
    <t>Link to Test Record</t>
  </si>
  <si>
    <t xml:space="preserve">General
This document contains one sheet for each test cycle! 
New test cycles can be added (always copied from the last TestCycle-Sheet) by using the 'Create New Worksheet' button. </t>
  </si>
  <si>
    <t>Document Approver</t>
  </si>
  <si>
    <r>
      <t xml:space="preserve">Meta Data:
</t>
    </r>
    <r>
      <rPr>
        <sz val="10"/>
        <rFont val="Arial"/>
        <family val="2"/>
      </rPr>
      <t>Document Approver: The TPM (or PjM) releases the initial version (content regarding test cases) and when changes on the testcases apply. (indicated by a major version number 1.0, 2.0 etc). The tester documents the test results for each test cycle (inidicated by a minor version number, e.g. 1.1, 1.2, 2.1. A final approvement of the TPM is not necessary in case of test cases are finalized from the beginning (V1.0) and only test results are inserted!</t>
    </r>
  </si>
  <si>
    <r>
      <rPr>
        <b/>
        <sz val="12"/>
        <color indexed="10"/>
        <rFont val="Arial"/>
        <family val="2"/>
      </rPr>
      <t>optional</t>
    </r>
    <r>
      <rPr>
        <sz val="10"/>
        <rFont val="Arial"/>
        <family val="2"/>
      </rPr>
      <t>: Either specify the environment directly with the TestCycle Worksheet or specify it here and add a reference in the TestCycle Worksheet</t>
    </r>
  </si>
  <si>
    <r>
      <t>Priority (optional)
I</t>
    </r>
    <r>
      <rPr>
        <sz val="10"/>
        <rFont val="Arial"/>
        <family val="2"/>
      </rPr>
      <t>f the test fails select the priority for the call. Leave this field empty if there is no error.
If you want to use more then one priority in one cell, you have to disable the data validation in the data ribbon: Change the data validation setting from 'list' to 'any value' - this enables the usage of specific entries here</t>
    </r>
  </si>
  <si>
    <t>PC Environment</t>
  </si>
  <si>
    <r>
      <rPr>
        <b/>
        <sz val="10"/>
        <color indexed="10"/>
        <rFont val="Arial"/>
        <family val="2"/>
      </rPr>
      <t>Result</t>
    </r>
    <r>
      <rPr>
        <b/>
        <sz val="10"/>
        <rFont val="Arial"/>
        <family val="2"/>
      </rPr>
      <t xml:space="preserve"> (mandatory)</t>
    </r>
    <r>
      <rPr>
        <sz val="10"/>
        <rFont val="Arial"/>
        <family val="2"/>
      </rPr>
      <t xml:space="preserve">
Select the result of the test from the list.
Leave this field empty if this test step is skipped.
Skipped tests are displayed in grey in the progress bar.
Results different from OK has to be commented and approved before release.</t>
    </r>
  </si>
  <si>
    <t>Sandner</t>
  </si>
  <si>
    <t>Sandner, Wolfgang</t>
  </si>
  <si>
    <t>English</t>
  </si>
  <si>
    <t>Fe077 (Bosch)</t>
  </si>
  <si>
    <t>Fe076 (Etas)</t>
  </si>
  <si>
    <t>Fe070 (Etas)</t>
  </si>
  <si>
    <t>Environment - Building (Network)</t>
  </si>
  <si>
    <t>X</t>
  </si>
  <si>
    <t>RAS/VPN (Bosch)</t>
  </si>
  <si>
    <t>Fe056 (Etas)</t>
  </si>
  <si>
    <t>Windows 7 Enterprise  64-bit</t>
  </si>
  <si>
    <t>Speed [GHz]</t>
  </si>
  <si>
    <t>CPU [Number]</t>
  </si>
  <si>
    <t>Memory [GB]</t>
  </si>
  <si>
    <t>HP EliteBook 8760w</t>
  </si>
  <si>
    <t>Manual Test Report ICO-Tests</t>
  </si>
  <si>
    <t>Lenovo ThinkPad T530</t>
  </si>
  <si>
    <t>n/a</t>
  </si>
  <si>
    <t>Success if a read or read write repo can be accessed (content of repo is displayed in the browser)</t>
  </si>
  <si>
    <t>Success if the access is denied, because the read and / or the read write right is missing. Test is ok, if the content of the repository is not displayed.</t>
  </si>
  <si>
    <t/>
  </si>
  <si>
    <t>SVN: Create Repository +[manual]</t>
  </si>
  <si>
    <t xml:space="preserve">Success if creation of repo “Test1” was successful </t>
  </si>
  <si>
    <t>SVN: Checkout Root</t>
  </si>
  <si>
    <t xml:space="preserve">Success if checkout of a repository works without error message </t>
  </si>
  <si>
    <t>SVN: Checkout Subfolder</t>
  </si>
  <si>
    <t>Success if checkout of a subfolder of a repository works</t>
  </si>
  <si>
    <t>SVN: Commit of Change</t>
  </si>
  <si>
    <t>Success if files can be changed, add and change textfile</t>
  </si>
  <si>
    <t>SVN: Access via Browser +[positive check]</t>
  </si>
  <si>
    <t>SVN: Access via Browser +[negative check]</t>
  </si>
  <si>
    <t>SVN Server: Backup</t>
  </si>
  <si>
    <t>Restore of a repo of P (source: backup share) to Q can be done. Success, if [P repo]  eq [Q repo].</t>
  </si>
  <si>
    <t>SVN Server: SyncRepo Functionality P2Q</t>
  </si>
  <si>
    <t>The SyncRepo is the last version.</t>
  </si>
  <si>
    <t>SVN Multisite Replication master =&gt; slave 1 &amp; slave 2</t>
  </si>
  <si>
    <t>Commit on master check if last revision is replicated to slave server</t>
  </si>
  <si>
    <t>SVN Multisite Replication slave 1 =&gt; master &amp; slave 2</t>
  </si>
  <si>
    <t>Commit on slave 1 server check if revision is replicated to the master and slave 2</t>
  </si>
  <si>
    <t>SVN Multisite Replication slave 2 =&gt; master &amp; slave 1</t>
  </si>
  <si>
    <t>Commit on slave 2 server check if revision is replicated to the master and slave 1</t>
  </si>
  <si>
    <t>SVN Repo "Delivery.CodeSigning" check hook script</t>
  </si>
  <si>
    <t>check if the hook script works by committing new zip-file with source code for scanning</t>
  </si>
  <si>
    <t>SVN Repo "OrCADLib" check hook script</t>
  </si>
  <si>
    <t>check if the hook script works by committing new file and checking availability on  \\fe00fs70.de.bosch.com\cae$\OrCad</t>
  </si>
  <si>
    <t>SVN: Update local working copy</t>
  </si>
  <si>
    <t xml:space="preserve">use the update command to update an existing local working copy to the lastest revision  </t>
  </si>
  <si>
    <t>SVN test document template</t>
  </si>
  <si>
    <t>Use a big file for testing e.g. http://etasdel.de.bosch.com/Delivery.CodeSigning/ASCMO</t>
  </si>
  <si>
    <t>Elfrida/Cueneyt</t>
  </si>
  <si>
    <t>23/06/2018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</si>
</sst>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name val="Arial"/>
    </font>
    <font>
      <b/>
      <sz val="14"/>
      <name val="Arial"/>
      <family val="2"/>
    </font>
    <font>
      <sz val="10"/>
      <color indexed="8"/>
      <name val="Arial"/>
      <family val="2"/>
    </font>
    <font>
      <b/>
      <sz val="10"/>
      <color indexed="8"/>
      <name val="Arial"/>
      <family val="2"/>
    </font>
    <font>
      <sz val="10"/>
      <color indexed="22"/>
      <name val="Arial"/>
      <family val="2"/>
    </font>
    <font>
      <b/>
      <sz val="10"/>
      <name val="Arial"/>
      <family val="2"/>
    </font>
    <font>
      <sz val="6"/>
      <color indexed="8"/>
      <name val="Arial"/>
      <family val="2"/>
    </font>
    <font>
      <b/>
      <sz val="10"/>
      <color indexed="22"/>
      <name val="Arial"/>
      <family val="2"/>
    </font>
    <font>
      <b/>
      <sz val="6"/>
      <color indexed="22"/>
      <name val="Arial"/>
      <family val="2"/>
    </font>
    <font>
      <sz val="10"/>
      <name val="Arial"/>
      <family val="2"/>
    </font>
    <font>
      <sz val="6"/>
      <name val="Arial"/>
      <family val="2"/>
    </font>
    <font>
      <b/>
      <sz val="6"/>
      <name val="Arial"/>
      <family val="2"/>
    </font>
    <font>
      <b/>
      <sz val="12"/>
      <name val="Arial"/>
      <family val="2"/>
    </font>
    <font>
      <sz val="14"/>
      <name val="Arial"/>
      <family val="2"/>
    </font>
    <font>
      <sz val="10"/>
      <name val="Tahoma"/>
      <family val="2"/>
    </font>
    <font>
      <b/>
      <sz val="20"/>
      <color indexed="9"/>
      <name val="Tahoma"/>
      <family val="2"/>
    </font>
    <font>
      <b/>
      <sz val="20"/>
      <name val="Tahoma"/>
      <family val="2"/>
    </font>
    <font>
      <sz val="18"/>
      <name val="Tahoma"/>
      <family val="2"/>
    </font>
    <font>
      <b/>
      <sz val="10"/>
      <name val="Tahoma"/>
      <family val="2"/>
    </font>
    <font>
      <b/>
      <sz val="10"/>
      <color indexed="10"/>
      <name val="Tahoma"/>
      <family val="2"/>
    </font>
    <font>
      <sz val="16"/>
      <color indexed="55"/>
      <name val="Tahoma"/>
      <family val="2"/>
    </font>
    <font>
      <b/>
      <sz val="10"/>
      <color indexed="10"/>
      <name val="Arial"/>
      <family val="2"/>
    </font>
    <font>
      <b/>
      <sz val="12"/>
      <color indexed="10"/>
      <name val="Arial"/>
      <family val="2"/>
    </font>
    <font>
      <sz val="9"/>
      <color indexed="81"/>
      <name val="Tahoma"/>
      <family val="2"/>
    </font>
    <font>
      <b/>
      <sz val="9"/>
      <color indexed="81"/>
      <name val="Tahoma"/>
      <family val="2"/>
    </font>
    <font>
      <sz val="10"/>
      <color theme="3" tint="0.39997558519241921"/>
      <name val="Tahoma"/>
      <family val="2"/>
    </font>
    <font>
      <b/>
      <sz val="10"/>
      <color rgb="FFFF0000"/>
      <name val="Arial"/>
      <family val="2"/>
    </font>
    <font>
      <b/>
      <sz val="14"/>
      <color theme="4"/>
      <name val="Arial"/>
      <family val="2"/>
    </font>
    <font>
      <u/>
      <sz val="10"/>
      <color theme="10"/>
      <name val="Arial"/>
      <family val="2"/>
    </font>
    <font>
      <u/>
      <sz val="10"/>
      <color theme="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249977111117893"/>
        <bgColor indexed="64"/>
      </patternFill>
    </fill>
    <fill>
      <patternFill patternType="solid">
        <fgColor theme="7"/>
        <bgColor indexed="64"/>
      </patternFill>
    </fill>
    <fill>
      <patternFill patternType="solid">
        <fgColor theme="3" tint="0.7999816888943144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s>
  <cellStyleXfs count="6">
    <xf numFmtId="0" fontId="0" fillId="0" borderId="0"/>
    <xf numFmtId="0" fontId="14" fillId="0" borderId="0">
      <alignment vertical="top"/>
    </xf>
    <xf numFmtId="0" fontId="14" fillId="0" borderId="0">
      <alignment vertical="top"/>
    </xf>
    <xf numFmtId="0" fontId="14" fillId="0" borderId="0">
      <alignment vertical="top"/>
    </xf>
    <xf numFmtId="0" fontId="14" fillId="0" borderId="0">
      <alignment vertical="top"/>
    </xf>
    <xf numFmtId="0" fontId="28" fillId="0" borderId="0" applyNumberFormat="0" applyFill="0" applyBorder="0" applyAlignment="0" applyProtection="0"/>
  </cellStyleXfs>
  <cellXfs count="134">
    <xf numFmtId="0" fontId="0" fillId="0" borderId="0" xfId="0"/>
    <xf numFmtId="0" fontId="1" fillId="2" borderId="2" xfId="0" applyFont="1" applyFill="1" applyBorder="1" applyAlignment="1">
      <alignment vertical="top"/>
    </xf>
    <xf numFmtId="49" fontId="0" fillId="2" borderId="3" xfId="0" applyNumberFormat="1" applyFill="1" applyBorder="1" applyAlignment="1">
      <alignment vertical="top" wrapText="1"/>
    </xf>
    <xf numFmtId="0" fontId="2" fillId="2" borderId="2" xfId="0" applyFont="1" applyFill="1" applyBorder="1" applyAlignment="1">
      <alignment vertical="top"/>
    </xf>
    <xf numFmtId="0" fontId="1" fillId="2" borderId="4" xfId="0" applyFont="1" applyFill="1" applyBorder="1" applyAlignment="1">
      <alignment vertical="top"/>
    </xf>
    <xf numFmtId="49" fontId="0" fillId="2" borderId="0" xfId="0" applyNumberFormat="1" applyFill="1" applyBorder="1" applyAlignment="1">
      <alignment vertical="top" wrapText="1"/>
    </xf>
    <xf numFmtId="0" fontId="3" fillId="2" borderId="5" xfId="0" applyFont="1" applyFill="1" applyBorder="1" applyAlignment="1">
      <alignment vertical="top"/>
    </xf>
    <xf numFmtId="0" fontId="4" fillId="2" borderId="4" xfId="0" applyFont="1" applyFill="1" applyBorder="1" applyAlignment="1">
      <alignment vertical="top"/>
    </xf>
    <xf numFmtId="1" fontId="3" fillId="2" borderId="5" xfId="0" applyNumberFormat="1" applyFont="1" applyFill="1" applyBorder="1" applyAlignment="1">
      <alignment vertical="top" wrapText="1"/>
    </xf>
    <xf numFmtId="1" fontId="4" fillId="2" borderId="4" xfId="0" applyNumberFormat="1" applyFont="1" applyFill="1" applyBorder="1" applyAlignment="1" applyProtection="1">
      <alignment vertical="top"/>
      <protection locked="0"/>
    </xf>
    <xf numFmtId="49" fontId="7" fillId="2" borderId="6" xfId="0" applyNumberFormat="1" applyFont="1" applyFill="1" applyBorder="1" applyAlignment="1">
      <alignment vertical="top" wrapText="1"/>
    </xf>
    <xf numFmtId="1" fontId="3" fillId="2" borderId="7" xfId="0" applyNumberFormat="1" applyFont="1" applyFill="1" applyBorder="1" applyAlignment="1">
      <alignment vertical="top" wrapText="1"/>
    </xf>
    <xf numFmtId="0" fontId="3" fillId="2" borderId="7" xfId="0" applyFont="1" applyFill="1" applyBorder="1" applyAlignment="1">
      <alignment vertical="top"/>
    </xf>
    <xf numFmtId="0" fontId="4" fillId="2" borderId="8" xfId="0" applyFont="1" applyFill="1" applyBorder="1" applyAlignment="1">
      <alignment vertical="top"/>
    </xf>
    <xf numFmtId="0" fontId="4" fillId="2" borderId="3" xfId="0" applyFont="1" applyFill="1" applyBorder="1" applyAlignment="1">
      <alignment vertical="top"/>
    </xf>
    <xf numFmtId="0" fontId="9" fillId="2" borderId="0" xfId="0" applyFont="1" applyFill="1" applyBorder="1" applyAlignment="1">
      <alignment vertical="top"/>
    </xf>
    <xf numFmtId="49" fontId="7" fillId="2" borderId="0" xfId="0" applyNumberFormat="1" applyFont="1" applyFill="1" applyBorder="1" applyAlignment="1">
      <alignment vertical="top" wrapText="1"/>
    </xf>
    <xf numFmtId="1" fontId="7" fillId="2" borderId="0" xfId="0" applyNumberFormat="1" applyFont="1" applyFill="1" applyBorder="1" applyAlignment="1">
      <alignment vertical="top" wrapText="1"/>
    </xf>
    <xf numFmtId="0" fontId="4" fillId="2" borderId="0" xfId="0" applyFont="1" applyFill="1" applyBorder="1" applyAlignment="1">
      <alignment vertical="top"/>
    </xf>
    <xf numFmtId="49" fontId="5" fillId="2" borderId="6" xfId="0" applyNumberFormat="1" applyFont="1" applyFill="1" applyBorder="1" applyAlignment="1">
      <alignment vertical="top" wrapText="1"/>
    </xf>
    <xf numFmtId="1" fontId="5" fillId="2" borderId="6" xfId="0" applyNumberFormat="1" applyFont="1" applyFill="1" applyBorder="1" applyAlignment="1">
      <alignment vertical="top" wrapText="1"/>
    </xf>
    <xf numFmtId="0" fontId="2" fillId="2" borderId="6" xfId="0" applyFont="1" applyFill="1" applyBorder="1" applyAlignment="1">
      <alignment vertical="top"/>
    </xf>
    <xf numFmtId="49" fontId="5" fillId="2" borderId="9" xfId="0" applyNumberFormat="1" applyFont="1" applyFill="1" applyBorder="1" applyAlignment="1">
      <alignment vertical="top" wrapText="1"/>
    </xf>
    <xf numFmtId="0" fontId="5" fillId="2" borderId="9" xfId="0" applyFont="1" applyFill="1" applyBorder="1" applyAlignment="1">
      <alignment vertical="top"/>
    </xf>
    <xf numFmtId="0" fontId="0" fillId="0" borderId="0" xfId="0" applyAlignment="1">
      <alignment vertical="top"/>
    </xf>
    <xf numFmtId="49" fontId="0" fillId="0" borderId="0" xfId="0" applyNumberFormat="1" applyAlignment="1">
      <alignment vertical="top" wrapText="1"/>
    </xf>
    <xf numFmtId="49" fontId="9" fillId="0" borderId="0" xfId="0" applyNumberFormat="1" applyFont="1" applyAlignment="1">
      <alignment vertical="top" wrapText="1"/>
    </xf>
    <xf numFmtId="0" fontId="3" fillId="2" borderId="10" xfId="0" applyFont="1" applyFill="1" applyBorder="1" applyAlignment="1">
      <alignment vertical="top"/>
    </xf>
    <xf numFmtId="0" fontId="0" fillId="2" borderId="0" xfId="0" applyFill="1" applyBorder="1"/>
    <xf numFmtId="0" fontId="0" fillId="2" borderId="3" xfId="0" applyFill="1" applyBorder="1"/>
    <xf numFmtId="0" fontId="0" fillId="2" borderId="11" xfId="0" applyFill="1" applyBorder="1"/>
    <xf numFmtId="0" fontId="0" fillId="2" borderId="5" xfId="0" applyFill="1" applyBorder="1"/>
    <xf numFmtId="0" fontId="0" fillId="2" borderId="4" xfId="0" applyFill="1" applyBorder="1"/>
    <xf numFmtId="0" fontId="5" fillId="2" borderId="4" xfId="0" applyFont="1" applyFill="1" applyBorder="1"/>
    <xf numFmtId="0" fontId="5" fillId="2" borderId="8" xfId="0" applyFont="1" applyFill="1" applyBorder="1"/>
    <xf numFmtId="0" fontId="5" fillId="2" borderId="2" xfId="0" applyFont="1" applyFill="1" applyBorder="1"/>
    <xf numFmtId="0" fontId="5" fillId="2" borderId="3" xfId="0" applyFont="1" applyFill="1" applyBorder="1"/>
    <xf numFmtId="0" fontId="5" fillId="2" borderId="11" xfId="0" applyFont="1" applyFill="1" applyBorder="1"/>
    <xf numFmtId="0" fontId="4" fillId="2" borderId="0" xfId="0" applyFont="1" applyFill="1" applyBorder="1"/>
    <xf numFmtId="0" fontId="4" fillId="2" borderId="5" xfId="0" applyFont="1" applyFill="1" applyBorder="1"/>
    <xf numFmtId="0" fontId="4" fillId="2" borderId="6" xfId="0" applyFont="1" applyFill="1" applyBorder="1"/>
    <xf numFmtId="0" fontId="4" fillId="2" borderId="7" xfId="0" applyFont="1" applyFill="1" applyBorder="1"/>
    <xf numFmtId="0" fontId="4" fillId="0" borderId="0" xfId="0" applyFont="1"/>
    <xf numFmtId="0" fontId="5" fillId="0" borderId="0" xfId="0" applyFont="1" applyAlignment="1">
      <alignment vertical="top" wrapText="1"/>
    </xf>
    <xf numFmtId="0" fontId="12" fillId="0" borderId="0" xfId="0" applyFont="1"/>
    <xf numFmtId="0" fontId="0" fillId="0" borderId="0" xfId="0" applyBorder="1"/>
    <xf numFmtId="0" fontId="0" fillId="0" borderId="5" xfId="0" applyBorder="1"/>
    <xf numFmtId="0" fontId="0" fillId="0" borderId="6" xfId="0" applyBorder="1"/>
    <xf numFmtId="0" fontId="0" fillId="0" borderId="7" xfId="0" applyBorder="1"/>
    <xf numFmtId="0" fontId="0" fillId="2" borderId="8" xfId="0" applyFill="1" applyBorder="1"/>
    <xf numFmtId="0" fontId="0" fillId="0" borderId="0" xfId="0" applyFill="1" applyBorder="1"/>
    <xf numFmtId="49" fontId="2" fillId="2" borderId="3" xfId="0" applyNumberFormat="1" applyFont="1" applyFill="1" applyBorder="1" applyAlignment="1">
      <alignment vertical="top" wrapText="1"/>
    </xf>
    <xf numFmtId="49" fontId="2" fillId="2" borderId="0" xfId="0" applyNumberFormat="1" applyFont="1" applyFill="1" applyBorder="1" applyAlignment="1">
      <alignment vertical="top" wrapText="1"/>
    </xf>
    <xf numFmtId="1" fontId="3" fillId="2" borderId="0" xfId="0" applyNumberFormat="1" applyFont="1" applyFill="1" applyBorder="1" applyAlignment="1">
      <alignment vertical="top" wrapText="1"/>
    </xf>
    <xf numFmtId="1" fontId="3" fillId="2" borderId="6" xfId="0" applyNumberFormat="1" applyFont="1" applyFill="1" applyBorder="1" applyAlignment="1">
      <alignment vertical="top" wrapText="1"/>
    </xf>
    <xf numFmtId="49" fontId="9" fillId="0" borderId="0" xfId="0" quotePrefix="1" applyNumberFormat="1" applyFont="1" applyAlignment="1">
      <alignment vertical="top" wrapText="1"/>
    </xf>
    <xf numFmtId="0" fontId="9" fillId="0" borderId="0" xfId="0" applyFont="1" applyAlignment="1">
      <alignment vertical="top"/>
    </xf>
    <xf numFmtId="0" fontId="1" fillId="4" borderId="2" xfId="0" applyFont="1" applyFill="1" applyBorder="1" applyAlignment="1">
      <alignment vertical="top"/>
    </xf>
    <xf numFmtId="0" fontId="8" fillId="4" borderId="4" xfId="0" applyFont="1" applyFill="1" applyBorder="1" applyAlignment="1">
      <alignment vertical="top"/>
    </xf>
    <xf numFmtId="0" fontId="11" fillId="4" borderId="8" xfId="0" applyFont="1" applyFill="1" applyBorder="1" applyAlignment="1">
      <alignment vertical="top"/>
    </xf>
    <xf numFmtId="0" fontId="5" fillId="4" borderId="12" xfId="0" applyFont="1" applyFill="1" applyBorder="1" applyAlignment="1">
      <alignment vertical="top" wrapText="1"/>
    </xf>
    <xf numFmtId="0" fontId="0" fillId="4" borderId="0" xfId="0" applyFill="1" applyAlignment="1">
      <alignment vertical="top"/>
    </xf>
    <xf numFmtId="0" fontId="0" fillId="4" borderId="0" xfId="0" applyFill="1"/>
    <xf numFmtId="0" fontId="3" fillId="2" borderId="0" xfId="0" applyFont="1" applyFill="1" applyBorder="1" applyAlignment="1">
      <alignment vertical="top"/>
    </xf>
    <xf numFmtId="0" fontId="4" fillId="2" borderId="6" xfId="0" applyFont="1" applyFill="1" applyBorder="1" applyAlignment="1">
      <alignment vertical="top"/>
    </xf>
    <xf numFmtId="1" fontId="3" fillId="2" borderId="11" xfId="0" applyNumberFormat="1" applyFont="1" applyFill="1" applyBorder="1" applyAlignment="1">
      <alignment vertical="top" wrapText="1"/>
    </xf>
    <xf numFmtId="49" fontId="2" fillId="2" borderId="4" xfId="0" applyNumberFormat="1" applyFont="1" applyFill="1" applyBorder="1" applyAlignment="1">
      <alignment vertical="top" wrapText="1"/>
    </xf>
    <xf numFmtId="0" fontId="3" fillId="2" borderId="9" xfId="0" applyFont="1" applyFill="1" applyBorder="1" applyAlignment="1">
      <alignment vertical="top"/>
    </xf>
    <xf numFmtId="0" fontId="3" fillId="2" borderId="6" xfId="0" applyFont="1" applyFill="1" applyBorder="1" applyAlignment="1">
      <alignment vertical="top"/>
    </xf>
    <xf numFmtId="0" fontId="1" fillId="4" borderId="0" xfId="0" applyNumberFormat="1" applyFont="1" applyFill="1" applyBorder="1" applyAlignment="1">
      <alignment vertical="top"/>
    </xf>
    <xf numFmtId="1" fontId="4" fillId="2" borderId="0" xfId="0" applyNumberFormat="1" applyFont="1" applyFill="1" applyBorder="1"/>
    <xf numFmtId="0" fontId="0" fillId="3" borderId="0" xfId="3" applyFont="1" applyFill="1" applyProtection="1">
      <alignment vertical="top"/>
      <protection locked="0"/>
    </xf>
    <xf numFmtId="0" fontId="16" fillId="3" borderId="0" xfId="3" applyFont="1" applyFill="1" applyAlignment="1" applyProtection="1">
      <alignment vertical="center"/>
      <protection locked="0"/>
    </xf>
    <xf numFmtId="0" fontId="0" fillId="3" borderId="0" xfId="3" applyFont="1" applyFill="1" applyAlignment="1" applyProtection="1">
      <alignment vertical="center"/>
      <protection locked="0"/>
    </xf>
    <xf numFmtId="0" fontId="17" fillId="3" borderId="0" xfId="3" applyFont="1" applyFill="1" applyAlignment="1" applyProtection="1">
      <alignment horizontal="center" vertical="top"/>
      <protection locked="0"/>
    </xf>
    <xf numFmtId="0" fontId="0" fillId="3" borderId="0" xfId="3" applyFont="1" applyFill="1" applyAlignment="1" applyProtection="1">
      <alignment horizontal="center" vertical="top"/>
      <protection locked="0"/>
    </xf>
    <xf numFmtId="0" fontId="25" fillId="3" borderId="0" xfId="3" applyFont="1" applyFill="1" applyProtection="1">
      <alignment vertical="top"/>
      <protection locked="0"/>
    </xf>
    <xf numFmtId="0" fontId="0" fillId="3" borderId="0" xfId="3" applyFont="1" applyFill="1" applyBorder="1" applyAlignment="1" applyProtection="1">
      <alignment horizontal="left"/>
      <protection locked="0"/>
    </xf>
    <xf numFmtId="49" fontId="0" fillId="3" borderId="0" xfId="3" applyNumberFormat="1" applyFont="1" applyFill="1" applyProtection="1">
      <alignment vertical="top"/>
      <protection locked="0"/>
    </xf>
    <xf numFmtId="14" fontId="0" fillId="3" borderId="0" xfId="3" applyNumberFormat="1" applyFont="1" applyFill="1" applyProtection="1">
      <alignment vertical="top"/>
      <protection locked="0"/>
    </xf>
    <xf numFmtId="0" fontId="14" fillId="0" borderId="1" xfId="1" applyBorder="1" applyAlignment="1">
      <alignment horizontal="center" vertical="top"/>
    </xf>
    <xf numFmtId="0" fontId="14" fillId="0" borderId="1" xfId="1" applyBorder="1">
      <alignment vertical="top"/>
    </xf>
    <xf numFmtId="0" fontId="19" fillId="3" borderId="0" xfId="3" applyFont="1" applyFill="1" applyAlignment="1" applyProtection="1">
      <alignment vertical="top" wrapText="1"/>
      <protection locked="0"/>
    </xf>
    <xf numFmtId="0" fontId="0" fillId="3" borderId="0" xfId="3" applyFont="1" applyFill="1" applyAlignment="1" applyProtection="1">
      <alignment vertical="top" wrapText="1"/>
      <protection locked="0"/>
    </xf>
    <xf numFmtId="0" fontId="9" fillId="0" borderId="0" xfId="0" applyFont="1" applyAlignment="1">
      <alignment vertical="top" wrapText="1"/>
    </xf>
    <xf numFmtId="0" fontId="18" fillId="5" borderId="1" xfId="2" applyFont="1" applyFill="1" applyBorder="1" applyAlignment="1">
      <alignment horizontal="center" vertical="top"/>
    </xf>
    <xf numFmtId="0" fontId="9" fillId="6" borderId="3" xfId="0" applyFont="1" applyFill="1" applyBorder="1"/>
    <xf numFmtId="0" fontId="9" fillId="6" borderId="0" xfId="0" applyFont="1" applyFill="1" applyBorder="1"/>
    <xf numFmtId="0" fontId="0" fillId="0" borderId="2" xfId="0" applyBorder="1"/>
    <xf numFmtId="0" fontId="9" fillId="6" borderId="11" xfId="0" applyFont="1" applyFill="1" applyBorder="1"/>
    <xf numFmtId="0" fontId="9" fillId="6" borderId="4" xfId="0" applyFont="1" applyFill="1" applyBorder="1"/>
    <xf numFmtId="0" fontId="9" fillId="6" borderId="5" xfId="0" applyFont="1" applyFill="1" applyBorder="1"/>
    <xf numFmtId="0" fontId="9" fillId="2" borderId="6" xfId="0" applyFont="1" applyFill="1" applyBorder="1"/>
    <xf numFmtId="0" fontId="0" fillId="2" borderId="6" xfId="0" applyFill="1" applyBorder="1"/>
    <xf numFmtId="0" fontId="0" fillId="2" borderId="7" xfId="0" applyFill="1" applyBorder="1"/>
    <xf numFmtId="0" fontId="9" fillId="6" borderId="2" xfId="0" applyFont="1" applyFill="1" applyBorder="1"/>
    <xf numFmtId="0" fontId="26" fillId="0" borderId="0" xfId="0" applyFont="1" applyAlignment="1">
      <alignment vertical="top" wrapText="1"/>
    </xf>
    <xf numFmtId="1" fontId="5" fillId="2" borderId="0" xfId="0" applyNumberFormat="1" applyFont="1" applyFill="1" applyBorder="1" applyAlignment="1">
      <alignment vertical="top" wrapText="1"/>
    </xf>
    <xf numFmtId="49" fontId="27" fillId="0" borderId="0" xfId="0" applyNumberFormat="1" applyFont="1" applyBorder="1" applyAlignment="1">
      <alignment horizontal="left" vertical="top" wrapText="1"/>
    </xf>
    <xf numFmtId="14" fontId="27" fillId="0" borderId="0" xfId="0" applyNumberFormat="1" applyFont="1" applyBorder="1" applyAlignment="1">
      <alignment horizontal="left" vertical="top" wrapText="1"/>
    </xf>
    <xf numFmtId="0" fontId="13" fillId="6" borderId="4" xfId="0" applyFont="1" applyFill="1" applyBorder="1"/>
    <xf numFmtId="0" fontId="2" fillId="2" borderId="0" xfId="0" applyFont="1" applyFill="1" applyBorder="1"/>
    <xf numFmtId="0" fontId="6" fillId="2" borderId="0" xfId="0" applyFont="1" applyFill="1" applyBorder="1"/>
    <xf numFmtId="0" fontId="10" fillId="2" borderId="0" xfId="0" applyFont="1" applyFill="1" applyBorder="1"/>
    <xf numFmtId="0" fontId="2" fillId="2" borderId="13" xfId="0" applyFont="1" applyFill="1" applyBorder="1" applyAlignment="1">
      <alignment vertical="top"/>
    </xf>
    <xf numFmtId="0" fontId="4" fillId="2" borderId="14" xfId="0" applyFont="1" applyFill="1" applyBorder="1" applyAlignment="1">
      <alignment vertical="top"/>
    </xf>
    <xf numFmtId="1" fontId="4" fillId="2" borderId="14" xfId="0" applyNumberFormat="1" applyFont="1" applyFill="1" applyBorder="1" applyAlignment="1" applyProtection="1">
      <alignment vertical="top"/>
      <protection locked="0"/>
    </xf>
    <xf numFmtId="0" fontId="4" fillId="2" borderId="15" xfId="0" applyFont="1" applyFill="1" applyBorder="1" applyAlignment="1">
      <alignment vertical="top"/>
    </xf>
    <xf numFmtId="0" fontId="9" fillId="2" borderId="14" xfId="0" applyFont="1" applyFill="1" applyBorder="1" applyAlignment="1">
      <alignment vertical="top"/>
    </xf>
    <xf numFmtId="0" fontId="2" fillId="2" borderId="15" xfId="0" applyFont="1" applyFill="1" applyBorder="1" applyAlignment="1">
      <alignment vertical="top"/>
    </xf>
    <xf numFmtId="0" fontId="5" fillId="2" borderId="16" xfId="0" applyFont="1" applyFill="1" applyBorder="1" applyAlignment="1">
      <alignment vertical="top"/>
    </xf>
    <xf numFmtId="49" fontId="1" fillId="4" borderId="0" xfId="0" applyNumberFormat="1" applyFont="1" applyFill="1" applyBorder="1" applyAlignment="1">
      <alignment horizontal="left" vertical="top" wrapText="1"/>
    </xf>
    <xf numFmtId="49" fontId="27" fillId="4" borderId="0" xfId="0" applyNumberFormat="1" applyFont="1" applyFill="1" applyBorder="1" applyAlignment="1">
      <alignment horizontal="left" vertical="top" wrapText="1"/>
    </xf>
    <xf numFmtId="14" fontId="27" fillId="4" borderId="0" xfId="0" applyNumberFormat="1" applyFont="1" applyFill="1" applyBorder="1" applyAlignment="1">
      <alignment horizontal="left" vertical="top" wrapText="1"/>
    </xf>
    <xf numFmtId="0" fontId="9" fillId="2" borderId="4" xfId="0" applyFont="1" applyFill="1" applyBorder="1"/>
    <xf numFmtId="0" fontId="9" fillId="2" borderId="8" xfId="0" applyFont="1" applyFill="1" applyBorder="1"/>
    <xf numFmtId="14" fontId="14" fillId="0" borderId="1" xfId="1" applyNumberFormat="1" applyBorder="1" applyAlignment="1">
      <alignment horizontal="center" vertical="top"/>
    </xf>
    <xf numFmtId="0" fontId="9" fillId="0" borderId="0" xfId="0" applyFont="1" applyBorder="1"/>
    <xf numFmtId="0" fontId="9" fillId="0" borderId="6" xfId="0" applyFont="1" applyBorder="1"/>
    <xf numFmtId="0" fontId="0" fillId="0" borderId="0" xfId="0" applyAlignment="1">
      <alignment wrapText="1"/>
    </xf>
    <xf numFmtId="0" fontId="28" fillId="0" borderId="0" xfId="5"/>
    <xf numFmtId="0" fontId="9" fillId="0" borderId="0" xfId="0" applyNumberFormat="1" applyFont="1" applyAlignment="1">
      <alignment vertical="top" wrapText="1"/>
    </xf>
    <xf numFmtId="0" fontId="9" fillId="0" borderId="0" xfId="0" applyFont="1"/>
    <xf numFmtId="0" fontId="9" fillId="0" borderId="0" xfId="0" applyFont="1" applyAlignment="1">
      <alignment wrapText="1"/>
    </xf>
    <xf numFmtId="0" fontId="29" fillId="0" borderId="0" xfId="5" applyFont="1" applyAlignment="1">
      <alignment wrapText="1"/>
    </xf>
    <xf numFmtId="49" fontId="28" fillId="0" borderId="0" xfId="5" applyNumberFormat="1" applyAlignment="1">
      <alignment vertical="top" wrapText="1"/>
    </xf>
    <xf numFmtId="0" fontId="14" fillId="5" borderId="17" xfId="2" applyFill="1" applyBorder="1">
      <alignment vertical="top"/>
    </xf>
    <xf numFmtId="0" fontId="14" fillId="5" borderId="18" xfId="2" applyFill="1" applyBorder="1">
      <alignment vertical="top"/>
    </xf>
    <xf numFmtId="0" fontId="9" fillId="3" borderId="1" xfId="3" applyFont="1" applyFill="1" applyBorder="1" applyAlignment="1" applyProtection="1">
      <alignment horizontal="left"/>
      <protection locked="0"/>
    </xf>
    <xf numFmtId="0" fontId="0" fillId="3" borderId="1" xfId="3" applyFont="1" applyFill="1" applyBorder="1" applyAlignment="1" applyProtection="1">
      <alignment horizontal="left"/>
      <protection locked="0"/>
    </xf>
    <xf numFmtId="0" fontId="15" fillId="2" borderId="0" xfId="3" applyNumberFormat="1" applyFont="1" applyFill="1" applyAlignment="1" applyProtection="1">
      <alignment horizontal="center" vertical="center"/>
    </xf>
    <xf numFmtId="0" fontId="20" fillId="3" borderId="0" xfId="3" applyFont="1" applyFill="1" applyAlignment="1" applyProtection="1">
      <alignment horizontal="center" vertical="top"/>
    </xf>
    <xf numFmtId="0" fontId="18" fillId="0" borderId="19" xfId="1" applyFont="1" applyBorder="1" applyAlignment="1">
      <alignment vertical="center"/>
    </xf>
    <xf numFmtId="0" fontId="28" fillId="0" borderId="0" xfId="5" applyAlignment="1">
      <alignment horizontal="left" wrapText="1"/>
    </xf>
  </cellXfs>
  <cellStyles count="6">
    <cellStyle name="Hyperlink" xfId="5" builtinId="8"/>
    <cellStyle name="Normal" xfId="0" builtinId="0"/>
    <cellStyle name="Normal 2" xfId="1"/>
    <cellStyle name="Normal_Meta Data" xfId="2"/>
    <cellStyle name="Standard 2" xfId="4"/>
    <cellStyle name="Standard_CM_Plan_V14_Ri" xfId="3"/>
  </cellStyles>
  <dxfs count="32">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indexed="13"/>
        </patternFill>
      </fill>
    </dxf>
    <dxf>
      <fill>
        <patternFill>
          <bgColor indexed="11"/>
        </patternFill>
      </fill>
    </dxf>
    <dxf>
      <fill>
        <patternFill>
          <bgColor indexed="10"/>
        </patternFill>
      </fill>
    </dxf>
    <dxf>
      <fill>
        <patternFill>
          <bgColor rgb="FF55EF31"/>
        </patternFill>
      </fill>
    </dxf>
    <dxf>
      <fill>
        <patternFill>
          <bgColor rgb="FFFFFF00"/>
        </patternFill>
      </fill>
    </dxf>
    <dxf>
      <fill>
        <patternFill>
          <bgColor rgb="FFFF0000"/>
        </patternFill>
      </fill>
    </dxf>
    <dxf>
      <fill>
        <patternFill>
          <bgColor indexed="13"/>
        </patternFill>
      </fill>
    </dxf>
    <dxf>
      <fill>
        <patternFill>
          <bgColor indexed="11"/>
        </patternFill>
      </fill>
    </dxf>
    <dxf>
      <fill>
        <patternFill>
          <bgColor indexed="10"/>
        </patternFill>
      </fill>
    </dxf>
    <dxf>
      <font>
        <b/>
        <i val="0"/>
        <condense val="0"/>
        <extend val="0"/>
        <color indexed="11"/>
      </font>
    </dxf>
    <dxf>
      <font>
        <b/>
        <i val="0"/>
        <condense val="0"/>
        <extend val="0"/>
        <color indexed="10"/>
      </font>
    </dxf>
    <dxf>
      <font>
        <b/>
        <i val="0"/>
        <condense val="0"/>
        <extend val="0"/>
        <color indexed="13"/>
      </font>
    </dxf>
    <dxf>
      <font>
        <b/>
        <i val="0"/>
        <condense val="0"/>
        <extend val="0"/>
        <color indexed="11"/>
      </font>
    </dxf>
    <dxf>
      <font>
        <condense val="0"/>
        <extend val="0"/>
        <color indexed="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Overview on test results</a:t>
            </a:r>
          </a:p>
        </c:rich>
      </c:tx>
      <c:layout>
        <c:manualLayout>
          <c:xMode val="edge"/>
          <c:yMode val="edge"/>
          <c:x val="0.37565544464422262"/>
          <c:y val="3.036873291070635E-2"/>
        </c:manualLayout>
      </c:layout>
      <c:overlay val="0"/>
      <c:spPr>
        <a:noFill/>
        <a:ln w="25400">
          <a:noFill/>
        </a:ln>
      </c:spPr>
    </c:title>
    <c:autoTitleDeleted val="0"/>
    <c:view3D>
      <c:rotX val="15"/>
      <c:hPercent val="40"/>
      <c:rotY val="20"/>
      <c:depthPercent val="100"/>
      <c:rAngAx val="1"/>
    </c:view3D>
    <c:floor>
      <c:thickness val="0"/>
      <c:spPr>
        <a:solidFill>
          <a:srgbClr val="C0C0C0"/>
        </a:solidFill>
        <a:ln w="3175">
          <a:solidFill>
            <a:srgbClr val="000000"/>
          </a:solidFill>
          <a:prstDash val="solid"/>
        </a:ln>
      </c:spPr>
    </c:floor>
    <c:sideWall>
      <c:thickness val="0"/>
      <c:spPr>
        <a:solidFill>
          <a:srgbClr val="FFFFFF"/>
        </a:solidFill>
        <a:ln w="12700">
          <a:solidFill>
            <a:srgbClr val="808080"/>
          </a:solidFill>
          <a:prstDash val="solid"/>
        </a:ln>
      </c:spPr>
    </c:sideWall>
    <c:backWall>
      <c:thickness val="0"/>
      <c:spPr>
        <a:solidFill>
          <a:srgbClr val="FFFFFF"/>
        </a:solidFill>
        <a:ln w="12700">
          <a:solidFill>
            <a:srgbClr val="808080"/>
          </a:solidFill>
          <a:prstDash val="solid"/>
        </a:ln>
      </c:spPr>
    </c:backWall>
    <c:plotArea>
      <c:layout>
        <c:manualLayout>
          <c:layoutTarget val="inner"/>
          <c:xMode val="edge"/>
          <c:yMode val="edge"/>
          <c:x val="7.4157266744226569E-2"/>
          <c:y val="0.19041988172531066"/>
          <c:w val="0.9101123595505618"/>
          <c:h val="0.6268980477223427"/>
        </c:manualLayout>
      </c:layout>
      <c:bar3DChart>
        <c:barDir val="col"/>
        <c:grouping val="stacked"/>
        <c:varyColors val="0"/>
        <c:ser>
          <c:idx val="1"/>
          <c:order val="0"/>
          <c:tx>
            <c:strRef>
              <c:f>Summary!$A$5</c:f>
              <c:strCache>
                <c:ptCount val="1"/>
                <c:pt idx="0">
                  <c:v>OK</c:v>
                </c:pt>
              </c:strCache>
            </c:strRef>
          </c:tx>
          <c:spPr>
            <a:solidFill>
              <a:srgbClr val="00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Summary!$B$5:$U$5</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0-4F28-418E-99A7-FAAA9F8B23DD}"/>
            </c:ext>
          </c:extLst>
        </c:ser>
        <c:ser>
          <c:idx val="2"/>
          <c:order val="1"/>
          <c:tx>
            <c:strRef>
              <c:f>Summary!$A$6</c:f>
              <c:strCache>
                <c:ptCount val="1"/>
                <c:pt idx="0">
                  <c:v>Warning</c:v>
                </c:pt>
              </c:strCache>
            </c:strRef>
          </c:tx>
          <c:spPr>
            <a:solidFill>
              <a:srgbClr val="FF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Summary!$B$6:$U$6</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1-4F28-418E-99A7-FAAA9F8B23DD}"/>
            </c:ext>
          </c:extLst>
        </c:ser>
        <c:ser>
          <c:idx val="3"/>
          <c:order val="2"/>
          <c:tx>
            <c:strRef>
              <c:f>Summary!$A$7</c:f>
              <c:strCache>
                <c:ptCount val="1"/>
                <c:pt idx="0">
                  <c:v>Error</c:v>
                </c:pt>
              </c:strCache>
            </c:strRef>
          </c:tx>
          <c:spPr>
            <a:solidFill>
              <a:srgbClr val="FF00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Summary!$B$7:$U$7</c:f>
              <c:numCache>
                <c:formatCode>0</c:formatCode>
                <c:ptCount val="20"/>
                <c:pt idx="0" formatCode="General">
                  <c:v>0</c:v>
                </c:pt>
                <c:pt idx="1">
                  <c:v>0</c:v>
                </c:pt>
                <c:pt idx="2">
                  <c:v>0</c:v>
                </c:pt>
                <c:pt idx="3">
                  <c:v>0</c:v>
                </c:pt>
                <c:pt idx="4">
                  <c:v>0</c:v>
                </c:pt>
                <c:pt idx="5">
                  <c:v>0</c:v>
                </c:pt>
              </c:numCache>
            </c:numRef>
          </c:val>
          <c:extLst>
            <c:ext xmlns:c16="http://schemas.microsoft.com/office/drawing/2014/chart" uri="{C3380CC4-5D6E-409C-BE32-E72D297353CC}">
              <c16:uniqueId val="{00000002-4F28-418E-99A7-FAAA9F8B23DD}"/>
            </c:ext>
          </c:extLst>
        </c:ser>
        <c:ser>
          <c:idx val="4"/>
          <c:order val="3"/>
          <c:tx>
            <c:strRef>
              <c:f>Summary!$A$8</c:f>
              <c:strCache>
                <c:ptCount val="1"/>
                <c:pt idx="0">
                  <c:v>Not tested</c:v>
                </c:pt>
              </c:strCache>
            </c:strRef>
          </c:tx>
          <c:spPr>
            <a:solidFill>
              <a:srgbClr val="C0C0C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Summary!$B$8:$U$8</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3-4F28-418E-99A7-FAAA9F8B23DD}"/>
            </c:ext>
          </c:extLst>
        </c:ser>
        <c:dLbls>
          <c:showLegendKey val="0"/>
          <c:showVal val="0"/>
          <c:showCatName val="0"/>
          <c:showSerName val="0"/>
          <c:showPercent val="0"/>
          <c:showBubbleSize val="0"/>
        </c:dLbls>
        <c:gapWidth val="150"/>
        <c:shape val="box"/>
        <c:axId val="201012776"/>
        <c:axId val="200589304"/>
        <c:axId val="0"/>
      </c:bar3DChart>
      <c:catAx>
        <c:axId val="20101277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TestCycle</a:t>
                </a:r>
              </a:p>
            </c:rich>
          </c:tx>
          <c:layout>
            <c:manualLayout>
              <c:xMode val="edge"/>
              <c:yMode val="edge"/>
              <c:x val="0.48202250309262529"/>
              <c:y val="0.8481560918574274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0589304"/>
        <c:crosses val="autoZero"/>
        <c:auto val="1"/>
        <c:lblAlgn val="ctr"/>
        <c:lblOffset val="100"/>
        <c:tickLblSkip val="1"/>
        <c:tickMarkSkip val="1"/>
        <c:noMultiLvlLbl val="0"/>
      </c:catAx>
      <c:valAx>
        <c:axId val="200589304"/>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Number of tests</a:t>
                </a:r>
              </a:p>
            </c:rich>
          </c:tx>
          <c:layout>
            <c:manualLayout>
              <c:xMode val="edge"/>
              <c:yMode val="edge"/>
              <c:x val="7.7528143627715831E-2"/>
              <c:y val="0.3861171297903307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012776"/>
        <c:crosses val="autoZero"/>
        <c:crossBetween val="between"/>
      </c:valAx>
      <c:spPr>
        <a:noFill/>
        <a:ln w="25400">
          <a:noFill/>
        </a:ln>
      </c:spPr>
    </c:plotArea>
    <c:legend>
      <c:legendPos val="b"/>
      <c:layout>
        <c:manualLayout>
          <c:xMode val="edge"/>
          <c:yMode val="edge"/>
          <c:x val="0.13146069339757727"/>
          <c:y val="0.93275480936112676"/>
          <c:w val="0.81235951805236939"/>
          <c:h val="5.2060824183519983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25897920604915E-3"/>
          <c:y val="9.0909897992702354E-2"/>
          <c:w val="0.99149338374291118"/>
          <c:h val="0.81818908193432116"/>
        </c:manualLayout>
      </c:layout>
      <c:barChart>
        <c:barDir val="bar"/>
        <c:grouping val="percentStacked"/>
        <c:varyColors val="0"/>
        <c:ser>
          <c:idx val="0"/>
          <c:order val="0"/>
          <c:spPr>
            <a:solidFill>
              <a:srgbClr val="00FF00"/>
            </a:solidFill>
            <a:ln w="12700">
              <a:solidFill>
                <a:srgbClr val="000000"/>
              </a:solidFill>
              <a:prstDash val="solid"/>
            </a:ln>
          </c:spPr>
          <c:invertIfNegative val="0"/>
          <c:val>
            <c:numRef>
              <c:f>TestCycle1!$G$2</c:f>
              <c:numCache>
                <c:formatCode>General</c:formatCode>
                <c:ptCount val="1"/>
                <c:pt idx="0">
                  <c:v>10</c:v>
                </c:pt>
              </c:numCache>
            </c:numRef>
          </c:val>
          <c:extLst>
            <c:ext xmlns:c16="http://schemas.microsoft.com/office/drawing/2014/chart" uri="{C3380CC4-5D6E-409C-BE32-E72D297353CC}">
              <c16:uniqueId val="{00000000-353E-493E-90A1-473E3302C508}"/>
            </c:ext>
          </c:extLst>
        </c:ser>
        <c:ser>
          <c:idx val="1"/>
          <c:order val="1"/>
          <c:spPr>
            <a:solidFill>
              <a:srgbClr val="FFFF00"/>
            </a:solidFill>
            <a:ln w="12700">
              <a:solidFill>
                <a:srgbClr val="000000"/>
              </a:solidFill>
              <a:prstDash val="solid"/>
            </a:ln>
          </c:spPr>
          <c:invertIfNegative val="0"/>
          <c:val>
            <c:numRef>
              <c:f>TestCycle1!$G$3</c:f>
              <c:numCache>
                <c:formatCode>General</c:formatCode>
                <c:ptCount val="1"/>
                <c:pt idx="0">
                  <c:v>0</c:v>
                </c:pt>
              </c:numCache>
            </c:numRef>
          </c:val>
          <c:extLst>
            <c:ext xmlns:c16="http://schemas.microsoft.com/office/drawing/2014/chart" uri="{C3380CC4-5D6E-409C-BE32-E72D297353CC}">
              <c16:uniqueId val="{00000001-353E-493E-90A1-473E3302C508}"/>
            </c:ext>
          </c:extLst>
        </c:ser>
        <c:ser>
          <c:idx val="2"/>
          <c:order val="2"/>
          <c:spPr>
            <a:solidFill>
              <a:srgbClr val="FF0000"/>
            </a:solidFill>
            <a:ln w="12700">
              <a:solidFill>
                <a:srgbClr val="000000"/>
              </a:solidFill>
              <a:prstDash val="solid"/>
            </a:ln>
          </c:spPr>
          <c:invertIfNegative val="0"/>
          <c:val>
            <c:numRef>
              <c:f>TestCycle1!$G$4</c:f>
              <c:numCache>
                <c:formatCode>General</c:formatCode>
                <c:ptCount val="1"/>
                <c:pt idx="0">
                  <c:v>0</c:v>
                </c:pt>
              </c:numCache>
            </c:numRef>
          </c:val>
          <c:extLst>
            <c:ext xmlns:c16="http://schemas.microsoft.com/office/drawing/2014/chart" uri="{C3380CC4-5D6E-409C-BE32-E72D297353CC}">
              <c16:uniqueId val="{00000002-353E-493E-90A1-473E3302C508}"/>
            </c:ext>
          </c:extLst>
        </c:ser>
        <c:ser>
          <c:idx val="3"/>
          <c:order val="3"/>
          <c:spPr>
            <a:solidFill>
              <a:srgbClr val="969696"/>
            </a:solidFill>
            <a:ln w="12700">
              <a:solidFill>
                <a:srgbClr val="000000"/>
              </a:solidFill>
              <a:prstDash val="solid"/>
            </a:ln>
          </c:spPr>
          <c:invertIfNegative val="0"/>
          <c:val>
            <c:numRef>
              <c:f>TestCycle1!$G$6</c:f>
              <c:numCache>
                <c:formatCode>General</c:formatCode>
                <c:ptCount val="1"/>
                <c:pt idx="0">
                  <c:v>0</c:v>
                </c:pt>
              </c:numCache>
            </c:numRef>
          </c:val>
          <c:extLst>
            <c:ext xmlns:c16="http://schemas.microsoft.com/office/drawing/2014/chart" uri="{C3380CC4-5D6E-409C-BE32-E72D297353CC}">
              <c16:uniqueId val="{00000003-353E-493E-90A1-473E3302C508}"/>
            </c:ext>
          </c:extLst>
        </c:ser>
        <c:dLbls>
          <c:showLegendKey val="0"/>
          <c:showVal val="0"/>
          <c:showCatName val="0"/>
          <c:showSerName val="0"/>
          <c:showPercent val="0"/>
          <c:showBubbleSize val="0"/>
        </c:dLbls>
        <c:gapWidth val="30"/>
        <c:overlap val="100"/>
        <c:axId val="200949960"/>
        <c:axId val="201506784"/>
      </c:barChart>
      <c:catAx>
        <c:axId val="200949960"/>
        <c:scaling>
          <c:orientation val="minMax"/>
        </c:scaling>
        <c:delete val="1"/>
        <c:axPos val="l"/>
        <c:majorTickMark val="out"/>
        <c:minorTickMark val="none"/>
        <c:tickLblPos val="nextTo"/>
        <c:crossAx val="201506784"/>
        <c:crosses val="autoZero"/>
        <c:auto val="1"/>
        <c:lblAlgn val="ctr"/>
        <c:lblOffset val="100"/>
        <c:noMultiLvlLbl val="0"/>
      </c:catAx>
      <c:valAx>
        <c:axId val="201506784"/>
        <c:scaling>
          <c:orientation val="minMax"/>
        </c:scaling>
        <c:delete val="1"/>
        <c:axPos val="b"/>
        <c:numFmt formatCode="0%" sourceLinked="1"/>
        <c:majorTickMark val="out"/>
        <c:minorTickMark val="none"/>
        <c:tickLblPos val="nextTo"/>
        <c:crossAx val="200949960"/>
        <c:crosses val="autoZero"/>
        <c:crossBetween val="between"/>
      </c:valAx>
      <c:spPr>
        <a:noFill/>
        <a:ln w="12700">
          <a:solidFill>
            <a:srgbClr val="C0C0C0"/>
          </a:solidFill>
          <a:prstDash val="solid"/>
        </a:ln>
      </c:spPr>
    </c:plotArea>
    <c:plotVisOnly val="1"/>
    <c:dispBlanksAs val="gap"/>
    <c:showDLblsOverMax val="0"/>
  </c:chart>
  <c:spPr>
    <a:noFill/>
    <a:ln w="9525">
      <a:noFill/>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9525</xdr:colOff>
      <xdr:row>8</xdr:row>
      <xdr:rowOff>66675</xdr:rowOff>
    </xdr:from>
    <xdr:to>
      <xdr:col>21</xdr:col>
      <xdr:colOff>9525</xdr:colOff>
      <xdr:row>33</xdr:row>
      <xdr:rowOff>123825</xdr:rowOff>
    </xdr:to>
    <xdr:graphicFrame macro="">
      <xdr:nvGraphicFramePr>
        <xdr:cNvPr id="221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5</xdr:row>
      <xdr:rowOff>209550</xdr:rowOff>
    </xdr:from>
    <xdr:to>
      <xdr:col>10</xdr:col>
      <xdr:colOff>0</xdr:colOff>
      <xdr:row>9</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105834</xdr:colOff>
      <xdr:row>1</xdr:row>
      <xdr:rowOff>23283</xdr:rowOff>
    </xdr:from>
    <xdr:to>
      <xdr:col>4</xdr:col>
      <xdr:colOff>1481667</xdr:colOff>
      <xdr:row>3</xdr:row>
      <xdr:rowOff>116417</xdr:rowOff>
    </xdr:to>
    <xdr:sp macro="[0]!CreateNewWorksheet" textlink="">
      <xdr:nvSpPr>
        <xdr:cNvPr id="3" name="Rounded Rectangle 1"/>
        <xdr:cNvSpPr/>
      </xdr:nvSpPr>
      <xdr:spPr bwMode="auto">
        <a:xfrm>
          <a:off x="5849409" y="261408"/>
          <a:ext cx="1375833" cy="550334"/>
        </a:xfrm>
        <a:prstGeom prst="round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dist="35921" dir="2700000" algn="ctr" rotWithShape="0">
            <a:srgbClr val="808080"/>
          </a:outerShdw>
        </a:effectLst>
        <a:extLst/>
      </xdr:spPr>
      <xdr:txBody>
        <a:bodyPr vertOverflow="clip" horzOverflow="clip" wrap="square" lIns="18288" tIns="0" rIns="0" bIns="0" rtlCol="0" anchor="ctr" anchorCtr="0" upright="1"/>
        <a:lstStyle/>
        <a:p>
          <a:pPr algn="ctr"/>
          <a:r>
            <a:rPr lang="de-DE" sz="1400"/>
            <a:t>Create New</a:t>
          </a:r>
          <a:r>
            <a:rPr lang="de-DE" sz="1400" baseline="0"/>
            <a:t> Worksheet</a:t>
          </a:r>
          <a:endParaRPr lang="de-DE" sz="1400"/>
        </a:p>
      </xdr:txBody>
    </xdr:sp>
    <xdr:clientData/>
  </xdr:twoCellAnchor>
</xdr:wsDr>
</file>

<file path=xl/theme/theme1.xml><?xml version="1.0" encoding="utf-8"?>
<a:theme xmlns:a="http://schemas.openxmlformats.org/drawingml/2006/main" name="ETAS_PEP_std">
  <a:themeElements>
    <a:clrScheme name="ETAS_PEP">
      <a:dk1>
        <a:sysClr val="windowText" lastClr="000000"/>
      </a:dk1>
      <a:lt1>
        <a:sysClr val="window" lastClr="FFFFFF"/>
      </a:lt1>
      <a:dk2>
        <a:srgbClr val="1F497D"/>
      </a:dk2>
      <a:lt2>
        <a:srgbClr val="EEECE1"/>
      </a:lt2>
      <a:accent1>
        <a:srgbClr val="1E5394"/>
      </a:accent1>
      <a:accent2>
        <a:srgbClr val="6287BB"/>
      </a:accent2>
      <a:accent3>
        <a:srgbClr val="92A6B9"/>
      </a:accent3>
      <a:accent4>
        <a:srgbClr val="DEE3EA"/>
      </a:accent4>
      <a:accent5>
        <a:srgbClr val="BD0551"/>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1:H27"/>
  <sheetViews>
    <sheetView zoomScaleNormal="100" workbookViewId="0">
      <selection activeCell="D7" sqref="D7:E7"/>
    </sheetView>
  </sheetViews>
  <sheetFormatPr defaultColWidth="9.81640625" defaultRowHeight="12.5" x14ac:dyDescent="0.25"/>
  <cols>
    <col min="1" max="1" width="3.26953125" style="71" customWidth="1"/>
    <col min="2" max="2" width="8.26953125" style="71" customWidth="1"/>
    <col min="3" max="3" width="16.81640625" style="71" customWidth="1"/>
    <col min="4" max="4" width="14.7265625" style="71" customWidth="1"/>
    <col min="5" max="5" width="53.1796875" style="71" customWidth="1"/>
    <col min="6" max="6" width="3.7265625" style="71" customWidth="1"/>
    <col min="7" max="16384" width="9.81640625" style="71"/>
  </cols>
  <sheetData>
    <row r="1" spans="2:8" ht="45" customHeight="1" x14ac:dyDescent="0.25"/>
    <row r="2" spans="2:8" s="73" customFormat="1" ht="24.5" x14ac:dyDescent="0.25">
      <c r="B2" s="130" t="str">
        <f>IF(D6&lt;&gt;"",D6,IF(#REF!&lt;&gt;"",#REF!,""))</f>
        <v>SVN test document template</v>
      </c>
      <c r="C2" s="130"/>
      <c r="D2" s="130"/>
      <c r="E2" s="130"/>
      <c r="F2" s="71"/>
      <c r="G2" s="72"/>
    </row>
    <row r="3" spans="2:8" ht="30" customHeight="1" x14ac:dyDescent="0.25">
      <c r="B3" s="131" t="s">
        <v>72</v>
      </c>
      <c r="C3" s="131"/>
      <c r="D3" s="131"/>
      <c r="E3" s="131"/>
      <c r="F3" s="74"/>
    </row>
    <row r="4" spans="2:8" ht="30" hidden="1" customHeight="1" x14ac:dyDescent="0.25">
      <c r="B4" s="75" t="e">
        <f>#REF!</f>
        <v>#REF!</v>
      </c>
      <c r="C4" s="75"/>
      <c r="D4" s="75"/>
      <c r="E4" s="75"/>
    </row>
    <row r="5" spans="2:8" ht="18" customHeight="1" x14ac:dyDescent="0.25">
      <c r="B5" s="132" t="s">
        <v>25</v>
      </c>
      <c r="C5" s="132"/>
      <c r="D5" s="132"/>
      <c r="E5" s="132"/>
    </row>
    <row r="6" spans="2:8" x14ac:dyDescent="0.25">
      <c r="B6" s="126" t="s">
        <v>26</v>
      </c>
      <c r="C6" s="127"/>
      <c r="D6" s="128" t="s">
        <v>104</v>
      </c>
      <c r="E6" s="129"/>
      <c r="G6" s="76"/>
    </row>
    <row r="7" spans="2:8" x14ac:dyDescent="0.25">
      <c r="B7" s="126" t="s">
        <v>51</v>
      </c>
      <c r="C7" s="127"/>
      <c r="D7" s="128" t="s">
        <v>58</v>
      </c>
      <c r="E7" s="129"/>
      <c r="G7" s="76"/>
    </row>
    <row r="8" spans="2:8" x14ac:dyDescent="0.25">
      <c r="B8" s="126" t="s">
        <v>27</v>
      </c>
      <c r="C8" s="127"/>
      <c r="D8" s="129" t="s">
        <v>28</v>
      </c>
      <c r="E8" s="129"/>
    </row>
    <row r="9" spans="2:8" x14ac:dyDescent="0.25">
      <c r="B9" s="77"/>
      <c r="C9" s="77"/>
      <c r="D9" s="77"/>
      <c r="E9" s="77"/>
    </row>
    <row r="10" spans="2:8" x14ac:dyDescent="0.25">
      <c r="B10" s="78"/>
    </row>
    <row r="11" spans="2:8" x14ac:dyDescent="0.25">
      <c r="B11" s="85" t="s">
        <v>29</v>
      </c>
      <c r="C11" s="85" t="s">
        <v>5</v>
      </c>
      <c r="D11" s="85" t="s">
        <v>6</v>
      </c>
      <c r="E11" s="85" t="s">
        <v>30</v>
      </c>
      <c r="H11" s="79"/>
    </row>
    <row r="12" spans="2:8" s="83" customFormat="1" x14ac:dyDescent="0.25">
      <c r="B12" s="80" t="s">
        <v>31</v>
      </c>
      <c r="C12" s="80" t="s">
        <v>57</v>
      </c>
      <c r="D12" s="116">
        <v>41884</v>
      </c>
      <c r="E12" s="81" t="s">
        <v>32</v>
      </c>
      <c r="F12" s="82"/>
      <c r="G12" s="82"/>
    </row>
    <row r="13" spans="2:8" s="83" customFormat="1" x14ac:dyDescent="0.25">
      <c r="B13" s="80"/>
      <c r="C13" s="80"/>
      <c r="D13" s="80"/>
      <c r="E13" s="81"/>
      <c r="F13" s="82"/>
      <c r="G13" s="82"/>
    </row>
    <row r="14" spans="2:8" s="83" customFormat="1" x14ac:dyDescent="0.25">
      <c r="B14" s="80"/>
      <c r="C14" s="80"/>
      <c r="D14" s="80"/>
      <c r="E14" s="81"/>
      <c r="F14" s="82"/>
      <c r="G14" s="82"/>
    </row>
    <row r="15" spans="2:8" s="83" customFormat="1" x14ac:dyDescent="0.25">
      <c r="B15" s="80"/>
      <c r="C15" s="80"/>
      <c r="D15" s="80"/>
      <c r="E15" s="81"/>
      <c r="F15" s="82"/>
      <c r="G15" s="82"/>
    </row>
    <row r="16" spans="2:8" s="83" customFormat="1" x14ac:dyDescent="0.25">
      <c r="B16" s="80"/>
      <c r="C16" s="80"/>
      <c r="D16" s="80"/>
      <c r="E16" s="81"/>
      <c r="F16" s="82"/>
      <c r="G16" s="82"/>
    </row>
    <row r="17" spans="2:7" s="83" customFormat="1" x14ac:dyDescent="0.25">
      <c r="B17" s="80"/>
      <c r="C17" s="80"/>
      <c r="D17" s="80"/>
      <c r="E17" s="81"/>
      <c r="F17" s="82"/>
      <c r="G17" s="82"/>
    </row>
    <row r="18" spans="2:7" s="83" customFormat="1" x14ac:dyDescent="0.25">
      <c r="B18" s="80"/>
      <c r="C18" s="80"/>
      <c r="D18" s="80"/>
      <c r="E18" s="81"/>
      <c r="F18" s="82"/>
      <c r="G18" s="82"/>
    </row>
    <row r="19" spans="2:7" s="83" customFormat="1" x14ac:dyDescent="0.25">
      <c r="B19" s="80"/>
      <c r="C19" s="80"/>
      <c r="D19" s="80"/>
      <c r="E19" s="81"/>
      <c r="F19" s="82"/>
      <c r="G19" s="82"/>
    </row>
    <row r="20" spans="2:7" s="83" customFormat="1" x14ac:dyDescent="0.25">
      <c r="B20" s="80"/>
      <c r="C20" s="80"/>
      <c r="D20" s="80"/>
      <c r="E20" s="81"/>
      <c r="F20" s="82"/>
      <c r="G20" s="82"/>
    </row>
    <row r="21" spans="2:7" s="83" customFormat="1" x14ac:dyDescent="0.25">
      <c r="B21" s="80"/>
      <c r="C21" s="80"/>
      <c r="D21" s="80"/>
      <c r="E21" s="81"/>
      <c r="F21" s="82"/>
      <c r="G21" s="82"/>
    </row>
    <row r="22" spans="2:7" s="83" customFormat="1" x14ac:dyDescent="0.25">
      <c r="B22" s="80"/>
      <c r="C22" s="80"/>
      <c r="D22" s="80"/>
      <c r="E22" s="81"/>
      <c r="F22" s="82"/>
      <c r="G22" s="82"/>
    </row>
    <row r="23" spans="2:7" s="83" customFormat="1" x14ac:dyDescent="0.25">
      <c r="B23" s="80"/>
      <c r="C23" s="80"/>
      <c r="D23" s="80"/>
      <c r="E23" s="81"/>
      <c r="F23" s="82"/>
      <c r="G23" s="82"/>
    </row>
    <row r="24" spans="2:7" s="83" customFormat="1" x14ac:dyDescent="0.25">
      <c r="B24" s="80"/>
      <c r="C24" s="80"/>
      <c r="D24" s="80"/>
      <c r="E24" s="81"/>
      <c r="F24" s="82"/>
      <c r="G24" s="82"/>
    </row>
    <row r="25" spans="2:7" s="83" customFormat="1" x14ac:dyDescent="0.25">
      <c r="B25" s="80"/>
      <c r="C25" s="80"/>
      <c r="D25" s="80"/>
      <c r="E25" s="81"/>
      <c r="F25" s="82"/>
      <c r="G25" s="82"/>
    </row>
    <row r="26" spans="2:7" s="83" customFormat="1" x14ac:dyDescent="0.25">
      <c r="B26" s="80"/>
      <c r="C26" s="80"/>
      <c r="D26" s="80"/>
      <c r="E26" s="81"/>
      <c r="F26" s="82"/>
      <c r="G26" s="82"/>
    </row>
    <row r="27" spans="2:7" x14ac:dyDescent="0.25">
      <c r="B27" s="80"/>
      <c r="C27" s="80"/>
      <c r="D27" s="80"/>
      <c r="E27" s="81"/>
    </row>
  </sheetData>
  <mergeCells count="9">
    <mergeCell ref="B7:C7"/>
    <mergeCell ref="D7:E7"/>
    <mergeCell ref="B8:C8"/>
    <mergeCell ref="D8:E8"/>
    <mergeCell ref="B2:E2"/>
    <mergeCell ref="B3:E3"/>
    <mergeCell ref="B5:E5"/>
    <mergeCell ref="B6:C6"/>
    <mergeCell ref="D6:E6"/>
  </mergeCells>
  <dataValidations count="2">
    <dataValidation type="list" allowBlank="1" showInputMessage="1" showErrorMessage="1" sqref="D8:E8">
      <formula1>"Draft,Released"</formula1>
    </dataValidation>
    <dataValidation allowBlank="1" showErrorMessage="1" promptTitle="Confidentiality" prompt="Internal _x000a_= Public for all ETAS_x000a__x000a_Confidential_x000a_= _x000a__x000a_Stricly Confidential_x000a_-" sqref="D9:E9"/>
  </dataValidations>
  <pageMargins left="0.78740157480314965" right="0.78740157480314965" top="1.1811023622047245" bottom="0.94488188976377963" header="0.19685039370078741" footer="0.39370078740157483"/>
  <pageSetup paperSize="9" orientation="landscape" horizontalDpi="4294967294"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40"/>
  <sheetViews>
    <sheetView view="pageLayout" zoomScale="85" zoomScaleNormal="100" zoomScalePageLayoutView="85" workbookViewId="0">
      <selection activeCell="A22" sqref="A22"/>
    </sheetView>
  </sheetViews>
  <sheetFormatPr defaultColWidth="11.453125" defaultRowHeight="12.5" x14ac:dyDescent="0.25"/>
  <cols>
    <col min="1" max="1" width="139.81640625" customWidth="1"/>
  </cols>
  <sheetData>
    <row r="1" spans="1:1" ht="13" x14ac:dyDescent="0.25">
      <c r="A1" s="96" t="s">
        <v>36</v>
      </c>
    </row>
    <row r="2" spans="1:1" x14ac:dyDescent="0.25">
      <c r="A2" s="24"/>
    </row>
    <row r="3" spans="1:1" ht="39" x14ac:dyDescent="0.25">
      <c r="A3" s="96" t="s">
        <v>50</v>
      </c>
    </row>
    <row r="4" spans="1:1" ht="13" x14ac:dyDescent="0.25">
      <c r="A4" s="96"/>
    </row>
    <row r="5" spans="1:1" ht="13" x14ac:dyDescent="0.25">
      <c r="A5" s="96" t="s">
        <v>33</v>
      </c>
    </row>
    <row r="6" spans="1:1" ht="13" x14ac:dyDescent="0.25">
      <c r="A6" s="96"/>
    </row>
    <row r="7" spans="1:1" ht="50.5" x14ac:dyDescent="0.25">
      <c r="A7" s="43" t="s">
        <v>52</v>
      </c>
    </row>
    <row r="8" spans="1:1" ht="13" x14ac:dyDescent="0.25">
      <c r="A8" s="43"/>
    </row>
    <row r="9" spans="1:1" ht="38" x14ac:dyDescent="0.25">
      <c r="A9" s="43" t="s">
        <v>24</v>
      </c>
    </row>
    <row r="10" spans="1:1" ht="50.5" x14ac:dyDescent="0.25">
      <c r="A10" s="43" t="s">
        <v>37</v>
      </c>
    </row>
    <row r="11" spans="1:1" x14ac:dyDescent="0.25">
      <c r="A11" s="24"/>
    </row>
    <row r="12" spans="1:1" ht="38.5" x14ac:dyDescent="0.25">
      <c r="A12" s="43" t="s">
        <v>44</v>
      </c>
    </row>
    <row r="13" spans="1:1" x14ac:dyDescent="0.25">
      <c r="A13" s="24"/>
    </row>
    <row r="14" spans="1:1" ht="63" x14ac:dyDescent="0.25">
      <c r="A14" s="43" t="s">
        <v>45</v>
      </c>
    </row>
    <row r="15" spans="1:1" x14ac:dyDescent="0.25">
      <c r="A15" s="24"/>
    </row>
    <row r="16" spans="1:1" ht="113" x14ac:dyDescent="0.25">
      <c r="A16" s="43" t="s">
        <v>46</v>
      </c>
    </row>
    <row r="17" spans="1:1" ht="13" x14ac:dyDescent="0.25">
      <c r="A17" s="43"/>
    </row>
    <row r="18" spans="1:1" ht="54.75" customHeight="1" x14ac:dyDescent="0.25">
      <c r="A18" s="84" t="s">
        <v>47</v>
      </c>
    </row>
    <row r="19" spans="1:1" x14ac:dyDescent="0.25">
      <c r="A19" s="24"/>
    </row>
    <row r="20" spans="1:1" ht="63" x14ac:dyDescent="0.25">
      <c r="A20" s="43" t="s">
        <v>56</v>
      </c>
    </row>
    <row r="21" spans="1:1" x14ac:dyDescent="0.25">
      <c r="A21" s="24"/>
    </row>
    <row r="22" spans="1:1" ht="51" x14ac:dyDescent="0.25">
      <c r="A22" s="43" t="s">
        <v>54</v>
      </c>
    </row>
    <row r="23" spans="1:1" x14ac:dyDescent="0.25">
      <c r="A23" s="24"/>
    </row>
    <row r="24" spans="1:1" ht="39" customHeight="1" x14ac:dyDescent="0.25">
      <c r="A24" s="43" t="s">
        <v>34</v>
      </c>
    </row>
    <row r="25" spans="1:1" ht="13" x14ac:dyDescent="0.25">
      <c r="A25" s="43"/>
    </row>
    <row r="26" spans="1:1" ht="38" x14ac:dyDescent="0.25">
      <c r="A26" s="43" t="s">
        <v>48</v>
      </c>
    </row>
    <row r="27" spans="1:1" x14ac:dyDescent="0.25">
      <c r="A27" s="24"/>
    </row>
    <row r="28" spans="1:1" ht="25.5" x14ac:dyDescent="0.25">
      <c r="A28" s="43" t="s">
        <v>35</v>
      </c>
    </row>
    <row r="29" spans="1:1" x14ac:dyDescent="0.25">
      <c r="A29" s="24"/>
    </row>
    <row r="30" spans="1:1" x14ac:dyDescent="0.25">
      <c r="A30" s="24"/>
    </row>
    <row r="31" spans="1:1" x14ac:dyDescent="0.25">
      <c r="A31" s="24"/>
    </row>
    <row r="32" spans="1:1" x14ac:dyDescent="0.25">
      <c r="A32" s="24"/>
    </row>
    <row r="33" spans="1:1" x14ac:dyDescent="0.25">
      <c r="A33" s="24"/>
    </row>
    <row r="34" spans="1:1" x14ac:dyDescent="0.25">
      <c r="A34" s="24"/>
    </row>
    <row r="35" spans="1:1" x14ac:dyDescent="0.25">
      <c r="A35" s="24"/>
    </row>
    <row r="36" spans="1:1" x14ac:dyDescent="0.25">
      <c r="A36" s="24"/>
    </row>
    <row r="37" spans="1:1" x14ac:dyDescent="0.25">
      <c r="A37" s="24"/>
    </row>
    <row r="38" spans="1:1" x14ac:dyDescent="0.25">
      <c r="A38" s="24"/>
    </row>
    <row r="39" spans="1:1" x14ac:dyDescent="0.25">
      <c r="A39" s="24"/>
    </row>
    <row r="40" spans="1:1" x14ac:dyDescent="0.25">
      <c r="A40" s="24"/>
    </row>
  </sheetData>
  <phoneticPr fontId="0" type="noConversion"/>
  <pageMargins left="0.78740157480314965" right="0.78740157480314965" top="1.1811023622047245" bottom="0.94488188976377963" header="0.19685039370078741" footer="0.39370078740157483"/>
  <pageSetup paperSize="9" scale="62" orientation="portrait"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E33"/>
  <sheetViews>
    <sheetView view="pageLayout" zoomScaleNormal="100" workbookViewId="0">
      <selection activeCell="B20" sqref="B20"/>
    </sheetView>
  </sheetViews>
  <sheetFormatPr defaultColWidth="11.453125" defaultRowHeight="12.5" x14ac:dyDescent="0.25"/>
  <cols>
    <col min="1" max="1" width="23" customWidth="1"/>
    <col min="2" max="5" width="30.7265625" customWidth="1"/>
  </cols>
  <sheetData>
    <row r="1" spans="1:5" ht="18" x14ac:dyDescent="0.25">
      <c r="A1" s="1" t="str">
        <f>'Meta Data'!$D$6</f>
        <v>SVN test document template</v>
      </c>
      <c r="B1" s="2"/>
      <c r="C1" s="29"/>
      <c r="D1" s="29"/>
      <c r="E1" s="30"/>
    </row>
    <row r="2" spans="1:5" ht="18" x14ac:dyDescent="0.25">
      <c r="A2" s="4" t="str">
        <f>'Meta Data'!B3</f>
        <v>Manual Test Report ICO-Tests</v>
      </c>
      <c r="B2" s="5"/>
      <c r="C2" s="28"/>
      <c r="D2" s="28"/>
      <c r="E2" s="31"/>
    </row>
    <row r="3" spans="1:5" x14ac:dyDescent="0.25">
      <c r="A3" s="32"/>
      <c r="B3" s="28"/>
      <c r="C3" s="28"/>
      <c r="D3" s="28"/>
      <c r="E3" s="31"/>
    </row>
    <row r="4" spans="1:5" ht="18" thickBot="1" x14ac:dyDescent="0.4">
      <c r="A4" s="100" t="s">
        <v>38</v>
      </c>
      <c r="B4" s="92" t="s">
        <v>53</v>
      </c>
      <c r="C4" s="93"/>
      <c r="D4" s="93"/>
      <c r="E4" s="94"/>
    </row>
    <row r="5" spans="1:5" ht="13" thickBot="1" x14ac:dyDescent="0.3"/>
    <row r="6" spans="1:5" x14ac:dyDescent="0.25">
      <c r="A6" s="88"/>
      <c r="B6" s="86" t="s">
        <v>39</v>
      </c>
      <c r="C6" s="86" t="s">
        <v>40</v>
      </c>
      <c r="D6" s="86" t="s">
        <v>41</v>
      </c>
      <c r="E6" s="89" t="s">
        <v>43</v>
      </c>
    </row>
    <row r="7" spans="1:5" x14ac:dyDescent="0.25">
      <c r="A7" s="90" t="s">
        <v>42</v>
      </c>
      <c r="B7" s="87"/>
      <c r="C7" s="87"/>
      <c r="D7" s="87"/>
      <c r="E7" s="91"/>
    </row>
    <row r="8" spans="1:5" x14ac:dyDescent="0.25">
      <c r="A8" s="32" t="s">
        <v>13</v>
      </c>
      <c r="B8" s="117" t="s">
        <v>67</v>
      </c>
      <c r="C8" s="45" t="s">
        <v>67</v>
      </c>
      <c r="D8" s="45"/>
      <c r="E8" s="46"/>
    </row>
    <row r="9" spans="1:5" ht="13" thickBot="1" x14ac:dyDescent="0.3">
      <c r="A9" s="49" t="s">
        <v>14</v>
      </c>
      <c r="B9" s="118" t="s">
        <v>59</v>
      </c>
      <c r="C9" s="47"/>
      <c r="D9" s="47"/>
      <c r="E9" s="48"/>
    </row>
    <row r="10" spans="1:5" ht="13" thickBot="1" x14ac:dyDescent="0.3"/>
    <row r="11" spans="1:5" x14ac:dyDescent="0.25">
      <c r="A11" s="95" t="s">
        <v>55</v>
      </c>
      <c r="B11" s="86"/>
      <c r="C11" s="86"/>
      <c r="D11" s="86"/>
      <c r="E11" s="89"/>
    </row>
    <row r="12" spans="1:5" x14ac:dyDescent="0.25">
      <c r="A12" s="32" t="s">
        <v>12</v>
      </c>
      <c r="B12" s="117" t="s">
        <v>71</v>
      </c>
      <c r="C12" s="117" t="s">
        <v>73</v>
      </c>
      <c r="D12" s="45"/>
      <c r="E12" s="46"/>
    </row>
    <row r="13" spans="1:5" x14ac:dyDescent="0.25">
      <c r="A13" s="114" t="s">
        <v>69</v>
      </c>
      <c r="B13" s="117">
        <v>8</v>
      </c>
      <c r="C13" s="45">
        <v>4</v>
      </c>
      <c r="D13" s="45"/>
      <c r="E13" s="46"/>
    </row>
    <row r="14" spans="1:5" x14ac:dyDescent="0.25">
      <c r="A14" s="114" t="s">
        <v>68</v>
      </c>
      <c r="B14" s="45">
        <v>2.2999999999999998</v>
      </c>
      <c r="C14" s="45">
        <v>2.6</v>
      </c>
      <c r="D14" s="45"/>
      <c r="E14" s="46"/>
    </row>
    <row r="15" spans="1:5" ht="13" thickBot="1" x14ac:dyDescent="0.3">
      <c r="A15" s="115" t="s">
        <v>70</v>
      </c>
      <c r="B15" s="118">
        <v>8</v>
      </c>
      <c r="C15" s="47">
        <v>4</v>
      </c>
      <c r="D15" s="47"/>
      <c r="E15" s="48"/>
    </row>
    <row r="16" spans="1:5" ht="13" thickBot="1" x14ac:dyDescent="0.3">
      <c r="A16" s="50"/>
      <c r="B16" s="45"/>
      <c r="C16" s="45"/>
      <c r="D16" s="45"/>
      <c r="E16" s="45"/>
    </row>
    <row r="17" spans="1:5" x14ac:dyDescent="0.25">
      <c r="A17" s="95" t="s">
        <v>63</v>
      </c>
      <c r="B17" s="86"/>
      <c r="C17" s="86"/>
      <c r="D17" s="86"/>
      <c r="E17" s="89"/>
    </row>
    <row r="18" spans="1:5" x14ac:dyDescent="0.25">
      <c r="A18" s="114" t="s">
        <v>62</v>
      </c>
      <c r="B18" s="117" t="s">
        <v>64</v>
      </c>
      <c r="C18" s="117" t="s">
        <v>64</v>
      </c>
      <c r="D18" s="45"/>
      <c r="E18" s="46"/>
    </row>
    <row r="19" spans="1:5" x14ac:dyDescent="0.25">
      <c r="A19" s="114" t="s">
        <v>61</v>
      </c>
      <c r="B19" s="45"/>
      <c r="C19" s="45"/>
      <c r="D19" s="45"/>
      <c r="E19" s="46"/>
    </row>
    <row r="20" spans="1:5" x14ac:dyDescent="0.25">
      <c r="A20" s="114" t="s">
        <v>60</v>
      </c>
      <c r="B20" s="45"/>
      <c r="C20" s="45"/>
      <c r="D20" s="45"/>
      <c r="E20" s="46"/>
    </row>
    <row r="21" spans="1:5" x14ac:dyDescent="0.25">
      <c r="A21" s="114" t="s">
        <v>65</v>
      </c>
      <c r="B21" s="45"/>
      <c r="C21" s="45"/>
      <c r="D21" s="45"/>
      <c r="E21" s="46"/>
    </row>
    <row r="22" spans="1:5" x14ac:dyDescent="0.25">
      <c r="A22" s="114" t="s">
        <v>66</v>
      </c>
      <c r="B22" s="45"/>
      <c r="C22" s="45"/>
      <c r="D22" s="45"/>
      <c r="E22" s="46"/>
    </row>
    <row r="23" spans="1:5" x14ac:dyDescent="0.25">
      <c r="A23" s="114"/>
      <c r="B23" s="45"/>
      <c r="C23" s="45"/>
      <c r="D23" s="45"/>
      <c r="E23" s="46"/>
    </row>
    <row r="24" spans="1:5" x14ac:dyDescent="0.25">
      <c r="A24" s="114"/>
      <c r="B24" s="45"/>
      <c r="C24" s="45"/>
      <c r="D24" s="45"/>
      <c r="E24" s="46"/>
    </row>
    <row r="25" spans="1:5" x14ac:dyDescent="0.25">
      <c r="A25" s="114"/>
      <c r="B25" s="45"/>
      <c r="C25" s="45"/>
      <c r="D25" s="45"/>
      <c r="E25" s="46"/>
    </row>
    <row r="26" spans="1:5" x14ac:dyDescent="0.25">
      <c r="A26" s="114"/>
      <c r="B26" s="45"/>
      <c r="C26" s="45"/>
      <c r="D26" s="45"/>
      <c r="E26" s="46"/>
    </row>
    <row r="27" spans="1:5" x14ac:dyDescent="0.25">
      <c r="A27" s="114"/>
      <c r="B27" s="45"/>
      <c r="C27" s="45"/>
      <c r="D27" s="45"/>
      <c r="E27" s="46"/>
    </row>
    <row r="28" spans="1:5" x14ac:dyDescent="0.25">
      <c r="A28" s="114"/>
      <c r="B28" s="45"/>
      <c r="C28" s="45"/>
      <c r="D28" s="45"/>
      <c r="E28" s="46"/>
    </row>
    <row r="29" spans="1:5" x14ac:dyDescent="0.25">
      <c r="A29" s="114"/>
      <c r="B29" s="45"/>
      <c r="C29" s="45"/>
      <c r="D29" s="45"/>
      <c r="E29" s="46"/>
    </row>
    <row r="30" spans="1:5" x14ac:dyDescent="0.25">
      <c r="A30" s="114"/>
      <c r="B30" s="45"/>
      <c r="C30" s="45"/>
      <c r="D30" s="45"/>
      <c r="E30" s="46"/>
    </row>
    <row r="31" spans="1:5" x14ac:dyDescent="0.25">
      <c r="A31" s="114"/>
      <c r="B31" s="45"/>
      <c r="C31" s="45"/>
      <c r="D31" s="45"/>
      <c r="E31" s="46"/>
    </row>
    <row r="32" spans="1:5" ht="13" thickBot="1" x14ac:dyDescent="0.3">
      <c r="A32" s="49"/>
      <c r="B32" s="47"/>
      <c r="C32" s="47"/>
      <c r="D32" s="47"/>
      <c r="E32" s="48"/>
    </row>
    <row r="33" spans="1:5" x14ac:dyDescent="0.25">
      <c r="A33" s="114"/>
      <c r="B33" s="45"/>
      <c r="C33" s="45"/>
      <c r="D33" s="45"/>
      <c r="E33" s="46"/>
    </row>
  </sheetData>
  <phoneticPr fontId="0" type="noConversion"/>
  <pageMargins left="0.78740157480314965" right="0.78740157480314965" top="1.1811023622047245" bottom="0.94488188976377963" header="0.19685039370078741" footer="0.39370078740157483"/>
  <pageSetup paperSize="9" scale="90"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U36"/>
  <sheetViews>
    <sheetView zoomScaleNormal="100" workbookViewId="0">
      <selection activeCell="C8" sqref="C8"/>
    </sheetView>
  </sheetViews>
  <sheetFormatPr defaultColWidth="11.453125" defaultRowHeight="12.5" x14ac:dyDescent="0.25"/>
  <cols>
    <col min="1" max="1" width="12.7265625" customWidth="1"/>
    <col min="2" max="21" width="5.7265625" customWidth="1"/>
  </cols>
  <sheetData>
    <row r="1" spans="1:21" ht="18" x14ac:dyDescent="0.25">
      <c r="A1" s="1" t="str">
        <f>'Meta Data'!$D$6</f>
        <v>SVN test document template</v>
      </c>
      <c r="B1" s="2"/>
      <c r="C1" s="29"/>
      <c r="D1" s="29"/>
      <c r="E1" s="29"/>
      <c r="F1" s="29"/>
      <c r="G1" s="29"/>
      <c r="H1" s="29"/>
      <c r="I1" s="29"/>
      <c r="J1" s="29"/>
      <c r="K1" s="29"/>
      <c r="L1" s="29"/>
      <c r="M1" s="29"/>
      <c r="N1" s="29"/>
      <c r="O1" s="29"/>
      <c r="P1" s="29"/>
      <c r="Q1" s="29"/>
      <c r="R1" s="29"/>
      <c r="S1" s="29"/>
      <c r="T1" s="29"/>
      <c r="U1" s="30"/>
    </row>
    <row r="2" spans="1:21" ht="18" x14ac:dyDescent="0.25">
      <c r="A2" s="4" t="str">
        <f>'Meta Data'!B3</f>
        <v>Manual Test Report ICO-Tests</v>
      </c>
      <c r="B2" s="5"/>
      <c r="C2" s="28"/>
      <c r="D2" s="28"/>
      <c r="E2" s="28"/>
      <c r="F2" s="28"/>
      <c r="G2" s="28"/>
      <c r="H2" s="28"/>
      <c r="I2" s="28"/>
      <c r="J2" s="28"/>
      <c r="K2" s="28"/>
      <c r="L2" s="28"/>
      <c r="M2" s="28"/>
      <c r="N2" s="28"/>
      <c r="O2" s="28"/>
      <c r="P2" s="28"/>
      <c r="Q2" s="28"/>
      <c r="R2" s="28"/>
      <c r="S2" s="28"/>
      <c r="T2" s="28"/>
      <c r="U2" s="31"/>
    </row>
    <row r="3" spans="1:21" ht="13" thickBot="1" x14ac:dyDescent="0.3">
      <c r="A3" s="32"/>
      <c r="B3" s="28"/>
      <c r="C3" s="28"/>
      <c r="D3" s="28"/>
      <c r="E3" s="28"/>
      <c r="F3" s="28"/>
      <c r="G3" s="28"/>
      <c r="H3" s="28"/>
      <c r="I3" s="28"/>
      <c r="J3" s="28"/>
      <c r="K3" s="28"/>
      <c r="L3" s="28"/>
      <c r="M3" s="28"/>
      <c r="N3" s="28"/>
      <c r="O3" s="28"/>
      <c r="P3" s="28"/>
      <c r="Q3" s="28"/>
      <c r="R3" s="28"/>
      <c r="S3" s="28"/>
      <c r="T3" s="28"/>
      <c r="U3" s="31"/>
    </row>
    <row r="4" spans="1:21" ht="13" x14ac:dyDescent="0.3">
      <c r="A4" s="35" t="s">
        <v>23</v>
      </c>
      <c r="B4" s="36">
        <v>1</v>
      </c>
      <c r="C4" s="36">
        <v>2</v>
      </c>
      <c r="D4" s="36">
        <v>3</v>
      </c>
      <c r="E4" s="36">
        <v>4</v>
      </c>
      <c r="F4" s="36">
        <v>5</v>
      </c>
      <c r="G4" s="36">
        <v>6</v>
      </c>
      <c r="H4" s="36">
        <v>7</v>
      </c>
      <c r="I4" s="36">
        <v>8</v>
      </c>
      <c r="J4" s="36">
        <v>9</v>
      </c>
      <c r="K4" s="36">
        <v>10</v>
      </c>
      <c r="L4" s="36">
        <v>11</v>
      </c>
      <c r="M4" s="36">
        <v>12</v>
      </c>
      <c r="N4" s="36">
        <v>13</v>
      </c>
      <c r="O4" s="36">
        <v>14</v>
      </c>
      <c r="P4" s="36">
        <v>15</v>
      </c>
      <c r="Q4" s="36">
        <v>16</v>
      </c>
      <c r="R4" s="36">
        <v>17</v>
      </c>
      <c r="S4" s="36">
        <v>18</v>
      </c>
      <c r="T4" s="36">
        <v>19</v>
      </c>
      <c r="U4" s="37">
        <v>20</v>
      </c>
    </row>
    <row r="5" spans="1:21" ht="13" x14ac:dyDescent="0.3">
      <c r="A5" s="33" t="s">
        <v>4</v>
      </c>
      <c r="B5" s="38" t="e">
        <f>#REF!</f>
        <v>#REF!</v>
      </c>
      <c r="C5" s="38" t="e">
        <f>#REF!</f>
        <v>#REF!</v>
      </c>
      <c r="D5" s="38" t="e">
        <f>#REF!</f>
        <v>#REF!</v>
      </c>
      <c r="E5" s="38" t="e">
        <f>#REF!</f>
        <v>#REF!</v>
      </c>
      <c r="F5" s="38" t="e">
        <f>#REF!</f>
        <v>#REF!</v>
      </c>
      <c r="G5" s="38" t="e">
        <f>#REF!</f>
        <v>#REF!</v>
      </c>
      <c r="H5" s="38"/>
      <c r="I5" s="38"/>
      <c r="J5" s="38"/>
      <c r="K5" s="38"/>
      <c r="L5" s="38"/>
      <c r="M5" s="38"/>
      <c r="N5" s="38"/>
      <c r="O5" s="38"/>
      <c r="P5" s="38"/>
      <c r="Q5" s="38"/>
      <c r="R5" s="38"/>
      <c r="S5" s="38"/>
      <c r="T5" s="38"/>
      <c r="U5" s="39"/>
    </row>
    <row r="6" spans="1:21" ht="13" x14ac:dyDescent="0.3">
      <c r="A6" s="33" t="s">
        <v>18</v>
      </c>
      <c r="B6" s="38" t="e">
        <f>#REF!</f>
        <v>#REF!</v>
      </c>
      <c r="C6" s="38" t="e">
        <f>#REF!</f>
        <v>#REF!</v>
      </c>
      <c r="D6" s="38" t="e">
        <f>#REF!</f>
        <v>#REF!</v>
      </c>
      <c r="E6" s="38" t="e">
        <f>#REF!</f>
        <v>#REF!</v>
      </c>
      <c r="F6" s="38" t="e">
        <f>#REF!</f>
        <v>#REF!</v>
      </c>
      <c r="G6" s="38" t="e">
        <f>#REF!</f>
        <v>#REF!</v>
      </c>
      <c r="H6" s="38"/>
      <c r="I6" s="38"/>
      <c r="J6" s="38"/>
      <c r="K6" s="38"/>
      <c r="L6" s="38"/>
      <c r="M6" s="38"/>
      <c r="N6" s="38"/>
      <c r="O6" s="38"/>
      <c r="P6" s="38"/>
      <c r="Q6" s="38"/>
      <c r="R6" s="38"/>
      <c r="S6" s="38"/>
      <c r="T6" s="38"/>
      <c r="U6" s="39"/>
    </row>
    <row r="7" spans="1:21" ht="13" x14ac:dyDescent="0.3">
      <c r="A7" s="33" t="s">
        <v>2</v>
      </c>
      <c r="B7" s="38" t="e">
        <f>#REF!</f>
        <v>#REF!</v>
      </c>
      <c r="C7" s="70" t="e">
        <f>#REF!</f>
        <v>#REF!</v>
      </c>
      <c r="D7" s="70" t="e">
        <f>#REF!</f>
        <v>#REF!</v>
      </c>
      <c r="E7" s="70" t="e">
        <f>#REF!</f>
        <v>#REF!</v>
      </c>
      <c r="F7" s="70" t="e">
        <f>#REF!</f>
        <v>#REF!</v>
      </c>
      <c r="G7" s="70" t="e">
        <f>#REF!</f>
        <v>#REF!</v>
      </c>
      <c r="H7" s="38"/>
      <c r="I7" s="38"/>
      <c r="J7" s="38"/>
      <c r="K7" s="38"/>
      <c r="L7" s="38"/>
      <c r="M7" s="38"/>
      <c r="N7" s="38"/>
      <c r="O7" s="38"/>
      <c r="P7" s="38"/>
      <c r="Q7" s="38"/>
      <c r="R7" s="38"/>
      <c r="S7" s="38"/>
      <c r="T7" s="38"/>
      <c r="U7" s="39"/>
    </row>
    <row r="8" spans="1:21" ht="13.5" thickBot="1" x14ac:dyDescent="0.35">
      <c r="A8" s="34" t="s">
        <v>10</v>
      </c>
      <c r="B8" s="40">
        <f>TestCycle1!$G6</f>
        <v>0</v>
      </c>
      <c r="C8" s="40" t="e">
        <f>#REF!</f>
        <v>#REF!</v>
      </c>
      <c r="D8" s="40" t="e">
        <f>#REF!</f>
        <v>#REF!</v>
      </c>
      <c r="E8" s="40" t="e">
        <f>#REF!</f>
        <v>#REF!</v>
      </c>
      <c r="F8" s="40" t="e">
        <f>#REF!</f>
        <v>#REF!</v>
      </c>
      <c r="G8" s="40" t="e">
        <f>#REF!</f>
        <v>#REF!</v>
      </c>
      <c r="H8" s="40"/>
      <c r="I8" s="40"/>
      <c r="J8" s="40"/>
      <c r="K8" s="40"/>
      <c r="L8" s="40"/>
      <c r="M8" s="40"/>
      <c r="N8" s="40"/>
      <c r="O8" s="40"/>
      <c r="P8" s="40"/>
      <c r="Q8" s="40"/>
      <c r="R8" s="40"/>
      <c r="S8" s="40"/>
      <c r="T8" s="40"/>
      <c r="U8" s="41"/>
    </row>
    <row r="9" spans="1:21" x14ac:dyDescent="0.25">
      <c r="B9" s="42"/>
      <c r="C9" s="42"/>
      <c r="D9" s="42"/>
      <c r="E9" s="42"/>
      <c r="F9" s="42"/>
      <c r="G9" s="42"/>
      <c r="H9" s="42"/>
      <c r="I9" s="42"/>
      <c r="J9" s="42"/>
      <c r="K9" s="42"/>
      <c r="L9" s="42"/>
      <c r="M9" s="42"/>
      <c r="N9" s="42"/>
      <c r="O9" s="42"/>
      <c r="P9" s="42"/>
      <c r="Q9" s="42"/>
      <c r="R9" s="42"/>
      <c r="S9" s="42"/>
      <c r="T9" s="42"/>
      <c r="U9" s="42"/>
    </row>
    <row r="36" spans="1:1" ht="15.5" x14ac:dyDescent="0.35">
      <c r="A36" s="44"/>
    </row>
  </sheetData>
  <phoneticPr fontId="0" type="noConversion"/>
  <conditionalFormatting sqref="B8:U9">
    <cfRule type="cellIs" dxfId="31" priority="10" stopIfTrue="1" operator="greaterThan">
      <formula>0</formula>
    </cfRule>
  </conditionalFormatting>
  <conditionalFormatting sqref="B5:U5">
    <cfRule type="cellIs" dxfId="30" priority="11" stopIfTrue="1" operator="greaterThan">
      <formula>0</formula>
    </cfRule>
  </conditionalFormatting>
  <conditionalFormatting sqref="B6:U6">
    <cfRule type="cellIs" dxfId="29" priority="12" stopIfTrue="1" operator="greaterThan">
      <formula>0</formula>
    </cfRule>
  </conditionalFormatting>
  <conditionalFormatting sqref="B7:U7">
    <cfRule type="cellIs" dxfId="28" priority="13" stopIfTrue="1" operator="greaterThan">
      <formula>0</formula>
    </cfRule>
  </conditionalFormatting>
  <conditionalFormatting sqref="I5 K5 M5 O5 Q5 S5 U5">
    <cfRule type="cellIs" dxfId="27" priority="7" stopIfTrue="1" operator="greaterThan">
      <formula>0</formula>
    </cfRule>
  </conditionalFormatting>
  <pageMargins left="0.78740157480314965" right="0.78740157480314965" top="1.1811023622047245" bottom="0.94488188976377963" header="0.19685039370078741" footer="0.39370078740157483"/>
  <pageSetup paperSize="9" orientation="landscape"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theme="1" tint="0.249977111117893"/>
    <pageSetUpPr fitToPage="1"/>
  </sheetPr>
  <dimension ref="A1:T39"/>
  <sheetViews>
    <sheetView tabSelected="1" zoomScale="90" zoomScaleNormal="90" workbookViewId="0">
      <pane xSplit="1" ySplit="10" topLeftCell="B22" activePane="bottomRight" state="frozen"/>
      <selection pane="topRight" activeCell="B1" sqref="B1"/>
      <selection pane="bottomLeft" activeCell="A11" sqref="A11"/>
      <selection pane="bottomRight" activeCell="E24" sqref="E24"/>
    </sheetView>
  </sheetViews>
  <sheetFormatPr defaultColWidth="11.453125" defaultRowHeight="12.5" x14ac:dyDescent="0.25"/>
  <cols>
    <col min="1" max="1" width="9.7265625" style="62" customWidth="1"/>
    <col min="2" max="2" width="35.7265625" customWidth="1"/>
    <col min="3" max="3" width="40.7265625" customWidth="1"/>
    <col min="4" max="4" width="20" hidden="1" customWidth="1"/>
    <col min="5" max="5" width="37.1796875" bestFit="1" customWidth="1"/>
    <col min="6" max="6" width="10.453125" customWidth="1"/>
    <col min="7" max="7" width="4.54296875" customWidth="1"/>
    <col min="8" max="8" width="8.7265625" hidden="1" customWidth="1"/>
    <col min="9" max="9" width="45.54296875" customWidth="1"/>
    <col min="10" max="10" width="28" hidden="1" customWidth="1"/>
  </cols>
  <sheetData>
    <row r="1" spans="1:10" ht="18.5" thickBot="1" x14ac:dyDescent="0.3">
      <c r="A1" s="57" t="str">
        <f>'Meta Data'!$D$6</f>
        <v>SVN test document template</v>
      </c>
      <c r="B1" s="111"/>
      <c r="C1" s="98" t="s">
        <v>77</v>
      </c>
      <c r="D1" s="51"/>
      <c r="E1" s="65"/>
      <c r="F1" s="67" t="s">
        <v>9</v>
      </c>
      <c r="G1" s="27"/>
      <c r="H1" s="3"/>
      <c r="I1" s="101"/>
      <c r="J1" s="104"/>
    </row>
    <row r="2" spans="1:10" ht="18" x14ac:dyDescent="0.25">
      <c r="A2" s="66" t="s">
        <v>16</v>
      </c>
      <c r="B2" s="112"/>
      <c r="C2" s="98" t="s">
        <v>106</v>
      </c>
      <c r="D2" s="52"/>
      <c r="E2" s="8"/>
      <c r="F2" s="63" t="s">
        <v>4</v>
      </c>
      <c r="G2" s="6">
        <f>COUNTIF($F$11:$F$101,$F2)</f>
        <v>10</v>
      </c>
      <c r="H2" s="7">
        <v>1</v>
      </c>
      <c r="I2" s="101"/>
      <c r="J2" s="105"/>
    </row>
    <row r="3" spans="1:10" ht="18" x14ac:dyDescent="0.25">
      <c r="A3" s="66" t="s">
        <v>17</v>
      </c>
      <c r="B3" s="113"/>
      <c r="C3" s="99" t="s">
        <v>107</v>
      </c>
      <c r="D3" s="52"/>
      <c r="E3" s="8"/>
      <c r="F3" s="63" t="s">
        <v>18</v>
      </c>
      <c r="G3" s="6">
        <f>COUNTIF($F$11:$F$101,$F3)</f>
        <v>0</v>
      </c>
      <c r="H3" s="7">
        <v>2</v>
      </c>
      <c r="I3" s="101"/>
      <c r="J3" s="105"/>
    </row>
    <row r="4" spans="1:10" ht="27" customHeight="1" x14ac:dyDescent="0.25">
      <c r="A4" s="66" t="s">
        <v>20</v>
      </c>
      <c r="B4" s="112"/>
      <c r="C4" s="98" t="s">
        <v>74</v>
      </c>
      <c r="D4" s="52"/>
      <c r="E4" s="8"/>
      <c r="F4" s="63" t="s">
        <v>2</v>
      </c>
      <c r="G4" s="6">
        <f>COUNTIF($F$11:$F$101,$F4)</f>
        <v>0</v>
      </c>
      <c r="H4" s="9">
        <v>3</v>
      </c>
      <c r="I4" s="102"/>
      <c r="J4" s="106"/>
    </row>
    <row r="5" spans="1:10" ht="18" x14ac:dyDescent="0.25">
      <c r="A5" s="69" t="str">
        <f>'Meta Data'!B3</f>
        <v>Manual Test Report ICO-Tests</v>
      </c>
      <c r="B5" s="97"/>
      <c r="C5" s="53"/>
      <c r="D5" s="53"/>
      <c r="E5" s="8"/>
      <c r="F5" s="63" t="s">
        <v>21</v>
      </c>
      <c r="G5" s="6">
        <f>COUNTIF($F$11:$F$101,$F5)</f>
        <v>4</v>
      </c>
      <c r="H5" s="9">
        <v>4</v>
      </c>
      <c r="I5" s="102"/>
      <c r="J5" s="106"/>
    </row>
    <row r="6" spans="1:10" ht="13.5" thickBot="1" x14ac:dyDescent="0.3">
      <c r="A6" s="10"/>
      <c r="B6" s="10"/>
      <c r="C6" s="54"/>
      <c r="D6" s="54"/>
      <c r="E6" s="11"/>
      <c r="F6" s="68" t="s">
        <v>10</v>
      </c>
      <c r="G6" s="12">
        <f>IF((COUNTA($C$11:$C$101)-$G$2-$G$3-$G$4-$G$5)&gt;0,COUNTA($C$11:$C$101)-$G$2-$G$3-$G$4-$G$5,0)</f>
        <v>0</v>
      </c>
      <c r="H6" s="13"/>
      <c r="I6" s="64"/>
      <c r="J6" s="107"/>
    </row>
    <row r="7" spans="1:10" ht="13" x14ac:dyDescent="0.25">
      <c r="A7" s="58"/>
      <c r="B7" s="16"/>
      <c r="C7" s="17"/>
      <c r="D7" s="17"/>
      <c r="E7" s="17"/>
      <c r="F7" s="14"/>
      <c r="G7" s="14"/>
      <c r="H7" s="15"/>
      <c r="I7" s="103"/>
      <c r="J7" s="108"/>
    </row>
    <row r="8" spans="1:10" ht="13" x14ac:dyDescent="0.25">
      <c r="A8" s="58"/>
      <c r="B8" s="16"/>
      <c r="C8" s="17"/>
      <c r="D8" s="17"/>
      <c r="E8" s="17"/>
      <c r="F8" s="18"/>
      <c r="G8" s="18"/>
      <c r="H8" s="15"/>
      <c r="I8" s="103"/>
      <c r="J8" s="108"/>
    </row>
    <row r="9" spans="1:10" ht="13.5" thickBot="1" x14ac:dyDescent="0.3">
      <c r="A9" s="59"/>
      <c r="B9" s="19"/>
      <c r="C9" s="20"/>
      <c r="D9" s="20"/>
      <c r="E9" s="20"/>
      <c r="F9" s="21"/>
      <c r="G9" s="21"/>
      <c r="H9" s="21"/>
      <c r="I9" s="103"/>
      <c r="J9" s="109"/>
    </row>
    <row r="10" spans="1:10" ht="26.5" thickBot="1" x14ac:dyDescent="0.3">
      <c r="A10" s="60" t="s">
        <v>11</v>
      </c>
      <c r="B10" s="22" t="s">
        <v>22</v>
      </c>
      <c r="C10" s="22" t="s">
        <v>1</v>
      </c>
      <c r="D10" s="22" t="s">
        <v>19</v>
      </c>
      <c r="E10" s="22" t="s">
        <v>15</v>
      </c>
      <c r="F10" s="23" t="s">
        <v>0</v>
      </c>
      <c r="G10" s="23" t="s">
        <v>3</v>
      </c>
      <c r="H10" s="23" t="s">
        <v>8</v>
      </c>
      <c r="I10" s="23" t="s">
        <v>7</v>
      </c>
      <c r="J10" s="110" t="s">
        <v>49</v>
      </c>
    </row>
    <row r="11" spans="1:10" ht="25" x14ac:dyDescent="0.25">
      <c r="A11" s="61">
        <v>1</v>
      </c>
      <c r="B11" s="55" t="s">
        <v>78</v>
      </c>
      <c r="C11" s="121" t="s">
        <v>79</v>
      </c>
      <c r="D11" s="26"/>
      <c r="E11" s="26"/>
      <c r="F11" s="56" t="s">
        <v>4</v>
      </c>
      <c r="G11" s="24"/>
      <c r="H11" s="24"/>
      <c r="I11" s="26"/>
      <c r="J11" s="24"/>
    </row>
    <row r="12" spans="1:10" ht="25" x14ac:dyDescent="0.25">
      <c r="A12" s="61">
        <v>2</v>
      </c>
      <c r="B12" s="55" t="s">
        <v>80</v>
      </c>
      <c r="C12" s="121" t="s">
        <v>81</v>
      </c>
      <c r="D12" s="26"/>
      <c r="E12" s="26"/>
      <c r="F12" s="56" t="s">
        <v>4</v>
      </c>
      <c r="G12" s="24"/>
      <c r="H12" s="24"/>
      <c r="I12" s="26"/>
      <c r="J12" s="24"/>
    </row>
    <row r="13" spans="1:10" ht="25" x14ac:dyDescent="0.25">
      <c r="A13" s="61">
        <v>3</v>
      </c>
      <c r="B13" s="55" t="s">
        <v>82</v>
      </c>
      <c r="C13" s="121" t="s">
        <v>83</v>
      </c>
      <c r="D13" s="26"/>
      <c r="E13" s="26"/>
      <c r="F13" s="56" t="s">
        <v>4</v>
      </c>
      <c r="G13" s="24"/>
      <c r="H13" s="24"/>
      <c r="I13" s="26"/>
      <c r="J13" s="24"/>
    </row>
    <row r="14" spans="1:10" ht="25" x14ac:dyDescent="0.25">
      <c r="A14" s="61">
        <v>4</v>
      </c>
      <c r="B14" s="55" t="s">
        <v>84</v>
      </c>
      <c r="C14" s="121" t="s">
        <v>85</v>
      </c>
      <c r="D14" s="26"/>
      <c r="E14" s="26"/>
      <c r="F14" s="56" t="s">
        <v>4</v>
      </c>
      <c r="G14" s="24"/>
      <c r="H14" s="24"/>
      <c r="I14" s="26"/>
      <c r="J14" s="24"/>
    </row>
    <row r="15" spans="1:10" ht="25" x14ac:dyDescent="0.25">
      <c r="A15" s="61">
        <v>5</v>
      </c>
      <c r="B15" s="55" t="s">
        <v>102</v>
      </c>
      <c r="C15" s="121" t="s">
        <v>103</v>
      </c>
      <c r="D15" s="26"/>
      <c r="E15" s="26"/>
      <c r="F15" s="56" t="s">
        <v>4</v>
      </c>
      <c r="G15" s="24"/>
      <c r="H15" s="24"/>
      <c r="I15" s="26"/>
      <c r="J15" s="24"/>
    </row>
    <row r="16" spans="1:10" ht="37.5" x14ac:dyDescent="0.25">
      <c r="A16" s="61">
        <v>6</v>
      </c>
      <c r="B16" s="55" t="s">
        <v>86</v>
      </c>
      <c r="C16" s="121" t="s">
        <v>75</v>
      </c>
      <c r="D16" s="26"/>
      <c r="E16" s="26"/>
      <c r="F16" s="56" t="s">
        <v>4</v>
      </c>
      <c r="G16" s="24"/>
      <c r="H16" s="24"/>
      <c r="I16" s="120"/>
      <c r="J16" s="24"/>
    </row>
    <row r="17" spans="1:20" ht="50" x14ac:dyDescent="0.25">
      <c r="A17" s="61">
        <v>7</v>
      </c>
      <c r="B17" s="25" t="s">
        <v>87</v>
      </c>
      <c r="C17" s="121" t="s">
        <v>76</v>
      </c>
      <c r="D17" s="25"/>
      <c r="E17" s="26"/>
      <c r="F17" s="56" t="s">
        <v>4</v>
      </c>
      <c r="G17" s="24"/>
      <c r="H17" s="24"/>
      <c r="I17" s="26"/>
      <c r="J17" s="24"/>
    </row>
    <row r="18" spans="1:20" ht="37.5" x14ac:dyDescent="0.25">
      <c r="A18" s="61">
        <v>8</v>
      </c>
      <c r="B18" s="25" t="s">
        <v>88</v>
      </c>
      <c r="C18" s="121" t="s">
        <v>89</v>
      </c>
      <c r="D18" s="25"/>
      <c r="E18" s="26"/>
      <c r="F18" s="56" t="s">
        <v>21</v>
      </c>
      <c r="G18" s="24"/>
      <c r="H18" s="24"/>
      <c r="I18" s="26"/>
      <c r="J18" s="24"/>
    </row>
    <row r="19" spans="1:20" x14ac:dyDescent="0.25">
      <c r="A19" s="61">
        <v>9</v>
      </c>
      <c r="B19" s="25" t="s">
        <v>90</v>
      </c>
      <c r="C19" s="121" t="s">
        <v>91</v>
      </c>
      <c r="D19" s="25"/>
      <c r="E19" s="26"/>
      <c r="F19" s="56" t="s">
        <v>21</v>
      </c>
      <c r="G19" s="24"/>
      <c r="H19" s="24"/>
      <c r="J19" s="24"/>
      <c r="K19" s="122"/>
    </row>
    <row r="20" spans="1:20" ht="25" x14ac:dyDescent="0.25">
      <c r="A20" s="61">
        <v>10</v>
      </c>
      <c r="B20" s="26" t="s">
        <v>92</v>
      </c>
      <c r="C20" s="121" t="s">
        <v>93</v>
      </c>
      <c r="D20" s="25"/>
      <c r="E20" s="26"/>
      <c r="F20" s="56" t="s">
        <v>4</v>
      </c>
      <c r="G20" s="24"/>
      <c r="H20" s="24"/>
      <c r="I20" s="26"/>
      <c r="J20" s="24"/>
      <c r="K20" s="122"/>
    </row>
    <row r="21" spans="1:20" ht="25" x14ac:dyDescent="0.25">
      <c r="A21" s="61">
        <v>11</v>
      </c>
      <c r="B21" s="123" t="s">
        <v>94</v>
      </c>
      <c r="C21" s="121" t="s">
        <v>95</v>
      </c>
      <c r="E21" s="26"/>
      <c r="F21" s="56" t="s">
        <v>4</v>
      </c>
      <c r="K21" s="122"/>
    </row>
    <row r="22" spans="1:20" ht="25" x14ac:dyDescent="0.25">
      <c r="A22" s="61">
        <v>12</v>
      </c>
      <c r="B22" s="119" t="s">
        <v>96</v>
      </c>
      <c r="C22" s="121" t="s">
        <v>97</v>
      </c>
      <c r="E22" s="26"/>
      <c r="F22" s="56" t="s">
        <v>4</v>
      </c>
      <c r="I22" s="26"/>
    </row>
    <row r="23" spans="1:20" ht="37.5" x14ac:dyDescent="0.25">
      <c r="A23" s="61">
        <v>13</v>
      </c>
      <c r="B23" s="119" t="s">
        <v>98</v>
      </c>
      <c r="C23" s="121" t="s">
        <v>99</v>
      </c>
      <c r="E23" s="26" t="s">
        <v>105</v>
      </c>
      <c r="F23" s="56" t="s">
        <v>21</v>
      </c>
    </row>
    <row r="24" spans="1:20" ht="37.5" x14ac:dyDescent="0.25">
      <c r="A24" s="61">
        <v>14</v>
      </c>
      <c r="B24" s="84" t="s">
        <v>100</v>
      </c>
      <c r="C24" s="121" t="s">
        <v>101</v>
      </c>
      <c r="E24" s="26"/>
      <c r="F24" s="56" t="s">
        <v>21</v>
      </c>
      <c r="I24" s="26"/>
    </row>
    <row r="25" spans="1:20" x14ac:dyDescent="0.25">
      <c r="A25" s="61"/>
      <c r="B25" s="119"/>
      <c r="C25" s="121"/>
      <c r="E25" s="26"/>
      <c r="F25" s="56"/>
      <c r="I25" s="124"/>
      <c r="K25" s="133"/>
      <c r="L25" s="133"/>
      <c r="M25" s="133"/>
      <c r="N25" s="133"/>
      <c r="O25" s="133"/>
      <c r="P25" s="133"/>
      <c r="Q25" s="133"/>
      <c r="R25" s="133"/>
      <c r="S25" s="133"/>
      <c r="T25" s="133"/>
    </row>
    <row r="26" spans="1:20" x14ac:dyDescent="0.25">
      <c r="A26" s="61"/>
      <c r="B26" s="119"/>
      <c r="C26" s="121"/>
      <c r="E26" s="26"/>
      <c r="F26" s="56"/>
      <c r="I26" s="124"/>
      <c r="K26" s="133"/>
      <c r="L26" s="133"/>
      <c r="M26" s="133"/>
      <c r="N26" s="133"/>
      <c r="O26" s="133"/>
      <c r="P26" s="133"/>
      <c r="Q26" s="133"/>
      <c r="R26" s="133"/>
      <c r="S26" s="133"/>
      <c r="T26" s="133"/>
    </row>
    <row r="27" spans="1:20" x14ac:dyDescent="0.25">
      <c r="A27" s="61"/>
      <c r="B27" s="119"/>
      <c r="C27" s="121"/>
      <c r="E27" s="26"/>
      <c r="F27" s="56"/>
      <c r="I27" s="124"/>
      <c r="K27" s="133"/>
      <c r="L27" s="133"/>
      <c r="M27" s="133"/>
      <c r="N27" s="133"/>
      <c r="O27" s="133"/>
      <c r="P27" s="133"/>
      <c r="Q27" s="133"/>
      <c r="R27" s="133"/>
      <c r="S27" s="133"/>
      <c r="T27" s="133"/>
    </row>
    <row r="28" spans="1:20" x14ac:dyDescent="0.25">
      <c r="A28" s="61"/>
      <c r="B28" s="119"/>
      <c r="C28" s="121"/>
      <c r="E28" s="26"/>
      <c r="F28" s="56"/>
      <c r="I28" s="26"/>
    </row>
    <row r="29" spans="1:20" x14ac:dyDescent="0.25">
      <c r="A29" s="61"/>
      <c r="B29" s="123"/>
      <c r="C29" s="121"/>
      <c r="E29" s="26"/>
      <c r="F29" s="56"/>
      <c r="I29" s="26"/>
    </row>
    <row r="30" spans="1:20" x14ac:dyDescent="0.25">
      <c r="A30" s="61"/>
      <c r="B30" s="119"/>
      <c r="C30" s="121"/>
      <c r="E30" s="26"/>
      <c r="F30" s="56"/>
    </row>
    <row r="31" spans="1:20" x14ac:dyDescent="0.25">
      <c r="A31" s="61"/>
      <c r="B31" s="119"/>
      <c r="C31" s="121"/>
      <c r="E31" s="26"/>
      <c r="F31" s="56"/>
      <c r="I31" s="125"/>
    </row>
    <row r="32" spans="1:20" x14ac:dyDescent="0.25">
      <c r="A32" s="61"/>
      <c r="B32" s="119"/>
      <c r="C32" s="121"/>
      <c r="E32" s="26"/>
      <c r="F32" s="56"/>
    </row>
    <row r="33" spans="1:9" x14ac:dyDescent="0.25">
      <c r="A33" s="61"/>
      <c r="B33" s="119"/>
      <c r="C33" s="121"/>
      <c r="E33" s="26"/>
      <c r="F33" s="56"/>
      <c r="I33" s="26"/>
    </row>
    <row r="34" spans="1:9" x14ac:dyDescent="0.25">
      <c r="A34" s="61"/>
      <c r="B34" s="119"/>
      <c r="C34" s="121"/>
      <c r="E34" s="26"/>
      <c r="F34" s="56"/>
    </row>
    <row r="35" spans="1:9" x14ac:dyDescent="0.25">
      <c r="A35" s="61"/>
      <c r="B35" s="119"/>
      <c r="C35" s="121"/>
      <c r="E35" s="26"/>
      <c r="F35" s="56"/>
      <c r="I35" s="26"/>
    </row>
    <row r="36" spans="1:9" x14ac:dyDescent="0.25">
      <c r="A36" s="61"/>
      <c r="B36" s="119"/>
      <c r="C36" s="121"/>
      <c r="E36" s="26"/>
      <c r="F36" s="56"/>
    </row>
    <row r="37" spans="1:9" x14ac:dyDescent="0.25">
      <c r="A37" s="61"/>
    </row>
    <row r="38" spans="1:9" x14ac:dyDescent="0.25">
      <c r="A38" s="61"/>
    </row>
    <row r="39" spans="1:9" x14ac:dyDescent="0.25">
      <c r="A39" s="61"/>
    </row>
  </sheetData>
  <autoFilter ref="A10:J20"/>
  <mergeCells count="3">
    <mergeCell ref="K25:T25"/>
    <mergeCell ref="K27:T27"/>
    <mergeCell ref="K26:T26"/>
  </mergeCells>
  <conditionalFormatting sqref="A12 A14 A39 A37 A33 A35 A27 A29:A31 A16 A20 A24:A25 A18 A22">
    <cfRule type="expression" dxfId="26" priority="38" stopIfTrue="1">
      <formula>(F12=$F$4)</formula>
    </cfRule>
    <cfRule type="expression" dxfId="25" priority="39" stopIfTrue="1">
      <formula>(F12=$F$2)</formula>
    </cfRule>
    <cfRule type="expression" dxfId="24" priority="40" stopIfTrue="1">
      <formula>(F12=$F$3)</formula>
    </cfRule>
  </conditionalFormatting>
  <conditionalFormatting sqref="F11:F18 F28:F36">
    <cfRule type="cellIs" dxfId="23" priority="35" stopIfTrue="1" operator="equal">
      <formula>"Error"</formula>
    </cfRule>
    <cfRule type="cellIs" dxfId="22" priority="36" stopIfTrue="1" operator="equal">
      <formula>"Warning"</formula>
    </cfRule>
    <cfRule type="cellIs" dxfId="21" priority="37" stopIfTrue="1" operator="equal">
      <formula>"OK"</formula>
    </cfRule>
  </conditionalFormatting>
  <conditionalFormatting sqref="A11 A13 A38 A32 A34 A26 A36 A28 A15 A19 A23 A17 A21">
    <cfRule type="expression" dxfId="20" priority="32" stopIfTrue="1">
      <formula>(F11=$F$4)</formula>
    </cfRule>
    <cfRule type="expression" dxfId="19" priority="33" stopIfTrue="1">
      <formula>(F11=$F$2)</formula>
    </cfRule>
    <cfRule type="expression" dxfId="18" priority="34" stopIfTrue="1">
      <formula>(F11=$F$3)</formula>
    </cfRule>
  </conditionalFormatting>
  <conditionalFormatting sqref="I11:I25 I28:I36">
    <cfRule type="expression" dxfId="17" priority="31">
      <formula>AND($F11&lt;&gt;"OK",$A11&lt;&gt;"",$I11="")</formula>
    </cfRule>
  </conditionalFormatting>
  <conditionalFormatting sqref="F19:F20">
    <cfRule type="cellIs" dxfId="16" priority="28" stopIfTrue="1" operator="equal">
      <formula>"Error"</formula>
    </cfRule>
    <cfRule type="cellIs" dxfId="15" priority="29" stopIfTrue="1" operator="equal">
      <formula>"Warning"</formula>
    </cfRule>
    <cfRule type="cellIs" dxfId="14" priority="30" stopIfTrue="1" operator="equal">
      <formula>"OK"</formula>
    </cfRule>
  </conditionalFormatting>
  <conditionalFormatting sqref="F21">
    <cfRule type="cellIs" dxfId="13" priority="25" stopIfTrue="1" operator="equal">
      <formula>"Error"</formula>
    </cfRule>
    <cfRule type="cellIs" dxfId="12" priority="26" stopIfTrue="1" operator="equal">
      <formula>"Warning"</formula>
    </cfRule>
    <cfRule type="cellIs" dxfId="11" priority="27" stopIfTrue="1" operator="equal">
      <formula>"OK"</formula>
    </cfRule>
  </conditionalFormatting>
  <conditionalFormatting sqref="F22:F25">
    <cfRule type="cellIs" dxfId="10" priority="22" stopIfTrue="1" operator="equal">
      <formula>"Error"</formula>
    </cfRule>
    <cfRule type="cellIs" dxfId="9" priority="23" stopIfTrue="1" operator="equal">
      <formula>"Warning"</formula>
    </cfRule>
    <cfRule type="cellIs" dxfId="8" priority="24" stopIfTrue="1" operator="equal">
      <formula>"OK"</formula>
    </cfRule>
  </conditionalFormatting>
  <conditionalFormatting sqref="I27">
    <cfRule type="expression" dxfId="7" priority="18">
      <formula>AND($F27&lt;&gt;"OK",$A27&lt;&gt;"",$I27="")</formula>
    </cfRule>
  </conditionalFormatting>
  <conditionalFormatting sqref="F27">
    <cfRule type="cellIs" dxfId="6" priority="15" stopIfTrue="1" operator="equal">
      <formula>"Error"</formula>
    </cfRule>
    <cfRule type="cellIs" dxfId="5" priority="16" stopIfTrue="1" operator="equal">
      <formula>"Warning"</formula>
    </cfRule>
    <cfRule type="cellIs" dxfId="4" priority="17" stopIfTrue="1" operator="equal">
      <formula>"OK"</formula>
    </cfRule>
  </conditionalFormatting>
  <conditionalFormatting sqref="I26">
    <cfRule type="expression" dxfId="3" priority="4">
      <formula>AND($F26&lt;&gt;"OK",$A26&lt;&gt;"",$I26="")</formula>
    </cfRule>
  </conditionalFormatting>
  <conditionalFormatting sqref="F26">
    <cfRule type="cellIs" dxfId="2" priority="1" stopIfTrue="1" operator="equal">
      <formula>"Error"</formula>
    </cfRule>
    <cfRule type="cellIs" dxfId="1" priority="2" stopIfTrue="1" operator="equal">
      <formula>"Warning"</formula>
    </cfRule>
    <cfRule type="cellIs" dxfId="0" priority="3" stopIfTrue="1" operator="equal">
      <formula>"OK"</formula>
    </cfRule>
  </conditionalFormatting>
  <dataValidations count="2">
    <dataValidation type="list" allowBlank="1" showInputMessage="1" showErrorMessage="1" sqref="G11:G20">
      <formula1>$H$2:$H$6</formula1>
    </dataValidation>
    <dataValidation type="list" allowBlank="1" showInputMessage="1" showErrorMessage="1" sqref="F11:F36">
      <formula1>$F$2:$F$5</formula1>
    </dataValidation>
  </dataValidations>
  <pageMargins left="0.78740157480314965" right="0.78740157480314965" top="1.1811023622047245" bottom="0.94488188976377963" header="0.19685039370078741" footer="0.39370078740157483"/>
  <pageSetup paperSize="9" scale="58" fitToHeight="47"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drawing r:id="rId2"/>
  <legacy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Meta Data</vt:lpstr>
      <vt:lpstr>Readme</vt:lpstr>
      <vt:lpstr>Environment</vt:lpstr>
      <vt:lpstr>Summary</vt:lpstr>
      <vt:lpstr>TestCycle1</vt:lpstr>
      <vt:lpstr>'Meta Data'!Print_Area</vt:lpstr>
      <vt:lpstr>Summary!Print_Area</vt:lpstr>
      <vt:lpstr>TestCycle1!Print_Area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Hellebrand Wolfgang (ETAS/EPT4)</dc:creator>
  <cp:lastModifiedBy>FIXED-TERM Venkatesh Santhamma Manjunath (RBEI/BSI3)</cp:lastModifiedBy>
  <cp:lastPrinted>2012-02-08T09:51:58Z</cp:lastPrinted>
  <dcterms:created xsi:type="dcterms:W3CDTF">2011-03-08T11:35:04Z</dcterms:created>
  <dcterms:modified xsi:type="dcterms:W3CDTF">2019-05-30T04:24:01Z</dcterms:modified>
</cp:coreProperties>
</file>