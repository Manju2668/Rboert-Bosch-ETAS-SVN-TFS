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DieseArbeitsmappe"/>
  <mc:AlternateContent xmlns:mc="http://schemas.openxmlformats.org/markup-compatibility/2006">
    <mc:Choice Requires="x15">
      <x15ac:absPath xmlns:x15ac="http://schemas.microsoft.com/office/spreadsheetml/2010/11/ac" url="C:\Users\evm2kor\Desktop\MANJU\SVN Upgradation\"/>
    </mc:Choice>
  </mc:AlternateContent>
  <bookViews>
    <workbookView xWindow="2350" yWindow="1310" windowWidth="15180" windowHeight="8930" activeTab="4"/>
  </bookViews>
  <sheets>
    <sheet name="Meta Data" sheetId="34" r:id="rId1"/>
    <sheet name="Readme" sheetId="12" r:id="rId2"/>
    <sheet name="Environment" sheetId="33" state="hidden" r:id="rId3"/>
    <sheet name="Summary" sheetId="11" r:id="rId4"/>
    <sheet name="TestCycle1" sheetId="40" r:id="rId5"/>
  </sheets>
  <definedNames>
    <definedName name="_xlnm._FilterDatabase" localSheetId="4" hidden="1">TestCycle1!$A$10:$J$19</definedName>
    <definedName name="_xlnm.Print_Area" localSheetId="0">'Meta Data'!$B$2:$E$28</definedName>
    <definedName name="_xlnm.Print_Area" localSheetId="3">Summary!$A$1:$U$35</definedName>
    <definedName name="_xlnm.Print_Area" localSheetId="4">TestCycle1!$A$1:$J$17</definedName>
  </definedNames>
  <calcPr calcId="162913"/>
</workbook>
</file>

<file path=xl/calcChain.xml><?xml version="1.0" encoding="utf-8"?>
<calcChain xmlns="http://schemas.openxmlformats.org/spreadsheetml/2006/main">
  <c r="C3" i="40" l="1"/>
  <c r="C8" i="11" l="1"/>
  <c r="C7" i="11"/>
  <c r="C6" i="11"/>
  <c r="C5" i="11"/>
  <c r="G3" i="40"/>
  <c r="G4" i="40"/>
  <c r="G5" i="40"/>
  <c r="G2" i="40"/>
  <c r="G8" i="11"/>
  <c r="G7" i="11"/>
  <c r="G6" i="11"/>
  <c r="G5" i="11"/>
  <c r="A5" i="40"/>
  <c r="A1" i="40"/>
  <c r="F8" i="11"/>
  <c r="F7" i="11"/>
  <c r="F6" i="11"/>
  <c r="F5" i="11"/>
  <c r="E8" i="11"/>
  <c r="E7" i="11"/>
  <c r="E6" i="11"/>
  <c r="E5" i="11"/>
  <c r="D8" i="11"/>
  <c r="D7" i="11"/>
  <c r="D6" i="11"/>
  <c r="D5" i="11"/>
  <c r="G6" i="40" l="1"/>
  <c r="B8" i="11" s="1"/>
  <c r="A2" i="33"/>
  <c r="A2" i="11"/>
  <c r="A1" i="11"/>
  <c r="A1" i="33"/>
  <c r="B4" i="34"/>
  <c r="B2" i="34"/>
  <c r="B5" i="11"/>
  <c r="B7" i="11" l="1"/>
  <c r="B6" i="11"/>
</calcChain>
</file>

<file path=xl/comments1.xml><?xml version="1.0" encoding="utf-8"?>
<comments xmlns="http://schemas.openxmlformats.org/spreadsheetml/2006/main">
  <authors>
    <author>Hellebrand (Wolfgang)</author>
  </authors>
  <commentList>
    <comment ref="A10" authorId="0" shapeId="0">
      <text>
        <r>
          <rPr>
            <b/>
            <sz val="9"/>
            <color indexed="81"/>
            <rFont val="Tahoma"/>
            <family val="2"/>
          </rPr>
          <t xml:space="preserve">Test No.
</t>
        </r>
        <r>
          <rPr>
            <sz val="9"/>
            <color indexed="81"/>
            <rFont val="Tahoma"/>
            <family val="2"/>
          </rPr>
          <t>Give each test a unique number for later user
When cell 'Test description' is filled, a test  number is generated automatically</t>
        </r>
        <r>
          <rPr>
            <b/>
            <sz val="9"/>
            <color indexed="81"/>
            <rFont val="Tahoma"/>
            <family val="2"/>
          </rPr>
          <t xml:space="preserve">
</t>
        </r>
      </text>
    </comment>
    <comment ref="B10" authorId="0" shapeId="0">
      <text>
        <r>
          <rPr>
            <b/>
            <sz val="9"/>
            <color indexed="81"/>
            <rFont val="Tahoma"/>
            <family val="2"/>
          </rPr>
          <t xml:space="preserve">Test Case Name (at least one is mandatory)
</t>
        </r>
        <r>
          <rPr>
            <sz val="9"/>
            <color indexed="81"/>
            <rFont val="Tahoma"/>
            <family val="2"/>
          </rPr>
          <t>Describe in few words the topic of the test case containing 1..n test steps.
Multiple test steps may have the same title
Examples: 
“Change Database”
“Open experiment from Workspace”</t>
        </r>
      </text>
    </comment>
    <comment ref="C10" authorId="0" shapeId="0">
      <text>
        <r>
          <rPr>
            <b/>
            <sz val="9"/>
            <color indexed="81"/>
            <rFont val="Tahoma"/>
            <family val="2"/>
          </rPr>
          <t xml:space="preserve">Test description (mandatory)
</t>
        </r>
        <r>
          <rPr>
            <sz val="9"/>
            <color indexed="81"/>
            <rFont val="Tahoma"/>
            <family val="2"/>
          </rPr>
          <t>Provide either the test description direct here or a link to a document  Caliber-AC containing the test description.
Describe the activities and results that are checked.
This may include the expected result / behaviour.
Do only include one type of test / expected result in one test step.
Use multiple test steps to very different results of one test.
Examples:
“All databases on disk selectable”
“Selected database is loaded” 
“Old databases are converted”
“Experiment contains all windows”
“All windows are in the correct position and z-order”
“Hardware initialisation is performed”
“Trigger condition is restored”</t>
        </r>
      </text>
    </comment>
    <comment ref="D10" authorId="0" shapeId="0">
      <text>
        <r>
          <rPr>
            <b/>
            <sz val="9"/>
            <color indexed="81"/>
            <rFont val="Tahoma"/>
            <family val="2"/>
          </rPr>
          <t>Traceability (Caliber Reference to TestItem (mandatory)</t>
        </r>
        <r>
          <rPr>
            <sz val="9"/>
            <color indexed="81"/>
            <rFont val="Tahoma"/>
            <family val="2"/>
          </rPr>
          <t xml:space="preserve">
Insert the TestItem ID from Caliber here or insert a Link into Caliber by using the format: http://fe58256:8080/bss/CaliberRMShortcut?data=10.103.1.70,&lt;DatabaseNumber&gt;,&lt;RequirementNumber&gt;
If you use ACs optional for traceability, please add the AC to the Test Description field
</t>
        </r>
      </text>
    </comment>
    <comment ref="E10" authorId="0" shapeId="0">
      <text>
        <r>
          <rPr>
            <b/>
            <sz val="9"/>
            <color indexed="81"/>
            <rFont val="Tahoma"/>
            <family val="2"/>
          </rPr>
          <t>Test environment (at least one is mandatory)</t>
        </r>
        <r>
          <rPr>
            <sz val="9"/>
            <color indexed="81"/>
            <rFont val="Tahoma"/>
            <family val="2"/>
          </rPr>
          <t xml:space="preserve">
Provide a complete description of the test environment (SW and / or HW Versions incl. alpha or beta version)
Either provide the environment information in the Environment tab or insert a reference to the environment specified in the separate worksheet</t>
        </r>
      </text>
    </comment>
    <comment ref="F10" authorId="0" shapeId="0">
      <text>
        <r>
          <rPr>
            <b/>
            <sz val="9"/>
            <color indexed="81"/>
            <rFont val="Tahoma"/>
            <family val="2"/>
          </rPr>
          <t>Result (mandatory)</t>
        </r>
        <r>
          <rPr>
            <sz val="9"/>
            <color indexed="81"/>
            <rFont val="Tahoma"/>
            <family val="2"/>
          </rPr>
          <t xml:space="preserve">
Select the result of the test from the list.
Leave this field empty if this test step is skipped.
Skipped tests are displayed in grey in the progress bar.</t>
        </r>
      </text>
    </comment>
    <comment ref="G10" authorId="0" shapeId="0">
      <text>
        <r>
          <rPr>
            <b/>
            <sz val="9"/>
            <color indexed="81"/>
            <rFont val="Tahoma"/>
            <family val="2"/>
          </rPr>
          <t>Priority (optional)</t>
        </r>
        <r>
          <rPr>
            <sz val="9"/>
            <color indexed="81"/>
            <rFont val="Tahoma"/>
            <family val="2"/>
          </rPr>
          <t xml:space="preserve">
If the test fails select the priority for the bug fix
Leave this field empty if there is no error
If you want to use more then one priority in one cell, you have to disable the data validation in the data ribbon: Change the data validation setting from 'list' to 'any value' - this enables the usage of specific entries here
</t>
        </r>
      </text>
    </comment>
    <comment ref="H10" authorId="0" shapeId="0">
      <text>
        <r>
          <rPr>
            <b/>
            <sz val="9"/>
            <color indexed="81"/>
            <rFont val="Tahoma"/>
            <family val="2"/>
          </rPr>
          <t>Call Number (EHI / TFS number, optional)</t>
        </r>
        <r>
          <rPr>
            <sz val="9"/>
            <color indexed="81"/>
            <rFont val="Tahoma"/>
            <family val="2"/>
          </rPr>
          <t xml:space="preserve">
For all failed tests please generate an Bugfix report (EHI Call, TFS ticket)l 
Enter the call number here
</t>
        </r>
      </text>
    </comment>
    <comment ref="I10" authorId="0" shapeId="0">
      <text>
        <r>
          <rPr>
            <b/>
            <sz val="9"/>
            <color indexed="81"/>
            <rFont val="Tahoma"/>
            <family val="2"/>
          </rPr>
          <t>Comment (optional)</t>
        </r>
        <r>
          <rPr>
            <sz val="9"/>
            <color indexed="81"/>
            <rFont val="Tahoma"/>
            <family val="2"/>
          </rPr>
          <t xml:space="preserve">
Insert additional information on the test case, e.g. that describes the failure, describes the given result and what you have expected
The comment is mandatory if the result is different to "OK". The decission to skip or shift anyway has to be approved with reason for approval before release.</t>
        </r>
      </text>
    </comment>
    <comment ref="J10" authorId="0" shapeId="0">
      <text>
        <r>
          <rPr>
            <b/>
            <sz val="9"/>
            <color indexed="81"/>
            <rFont val="Tahoma"/>
            <family val="2"/>
          </rPr>
          <t>Link to Test Records (Optional)</t>
        </r>
        <r>
          <rPr>
            <sz val="9"/>
            <color indexed="81"/>
            <rFont val="Tahoma"/>
            <family val="2"/>
          </rPr>
          <t xml:space="preserve">
Use this cell for referencing test records, 
e.g. measure data files, logfiles</t>
        </r>
      </text>
    </comment>
  </commentList>
</comments>
</file>

<file path=xl/sharedStrings.xml><?xml version="1.0" encoding="utf-8"?>
<sst xmlns="http://schemas.openxmlformats.org/spreadsheetml/2006/main" count="159" uniqueCount="139">
  <si>
    <t>Result</t>
  </si>
  <si>
    <t>Test description</t>
  </si>
  <si>
    <t>Error</t>
  </si>
  <si>
    <t>Prio</t>
  </si>
  <si>
    <t>OK</t>
  </si>
  <si>
    <t>Author</t>
  </si>
  <si>
    <t>Date</t>
  </si>
  <si>
    <t>Comment</t>
  </si>
  <si>
    <t>Call No.</t>
  </si>
  <si>
    <t>Summary</t>
  </si>
  <si>
    <t>Not tested</t>
  </si>
  <si>
    <t>Test
No.</t>
  </si>
  <si>
    <t>PC type</t>
  </si>
  <si>
    <t>Operating system</t>
  </si>
  <si>
    <t>Language of OS</t>
  </si>
  <si>
    <t>Test environment</t>
  </si>
  <si>
    <t>Tester:</t>
  </si>
  <si>
    <t>Date:</t>
  </si>
  <si>
    <t>Warning</t>
  </si>
  <si>
    <t>Traceability
(Caliber Reference)</t>
  </si>
  <si>
    <t>Caliber Database(s):</t>
  </si>
  <si>
    <t>NA</t>
  </si>
  <si>
    <t>Test Case Name</t>
  </si>
  <si>
    <t>Test Cycle</t>
  </si>
  <si>
    <r>
      <t xml:space="preserve">Environment (optional)
</t>
    </r>
    <r>
      <rPr>
        <sz val="10"/>
        <rFont val="Arial"/>
        <family val="2"/>
      </rPr>
      <t>This page documents the reference system for testing
Either the test environment may be described here and gets referenced in the test cycle worksheet or the environment is specified directly in the test cycle worksheet</t>
    </r>
  </si>
  <si>
    <t>Document Meta Data:</t>
  </si>
  <si>
    <t>Product (Name and Version)</t>
  </si>
  <si>
    <t>Document Status</t>
  </si>
  <si>
    <t>Draft</t>
  </si>
  <si>
    <t>Version</t>
  </si>
  <si>
    <t>Change (Why, What)</t>
  </si>
  <si>
    <t>01</t>
  </si>
  <si>
    <t>Initial version</t>
  </si>
  <si>
    <t>Do not renname the tabs, because some data is inserted automatically</t>
  </si>
  <si>
    <r>
      <t xml:space="preserve">Call Number (EHI / TFS number, optional)
</t>
    </r>
    <r>
      <rPr>
        <sz val="10"/>
        <rFont val="Arial"/>
        <family val="2"/>
      </rPr>
      <t xml:space="preserve">For all failed tests please generate an Bugfix report (EHI Call, TFS ticket)l 
Enter the call number here
</t>
    </r>
  </si>
  <si>
    <r>
      <t xml:space="preserve">Comment (optional)
</t>
    </r>
    <r>
      <rPr>
        <sz val="10"/>
        <rFont val="Arial"/>
        <family val="2"/>
      </rPr>
      <t>Insert additional information on the test case, e.g. that describes the failure, describes the given result and what you have expected</t>
    </r>
  </si>
  <si>
    <t>Fill in your data only in 'white' cells, not in the grey ones. Where text is listed in &lt;..&gt;, a data entry is mandatory</t>
  </si>
  <si>
    <r>
      <t xml:space="preserve">Summary
</t>
    </r>
    <r>
      <rPr>
        <sz val="10"/>
        <rFont val="Arial"/>
        <family val="2"/>
      </rPr>
      <t>This page summarises all test results from all test cycles versions in one graph
The data in cells B4:U8 are filled in automatically when a new test cycle is created by using the 'crate new worksheet' macro.
Do not insert manually data here in the table!</t>
    </r>
  </si>
  <si>
    <t>Environment data:</t>
  </si>
  <si>
    <t>Setup A</t>
  </si>
  <si>
    <t>Setup B</t>
  </si>
  <si>
    <t>Setup C</t>
  </si>
  <si>
    <t>OS Environment</t>
  </si>
  <si>
    <t>Setup D</t>
  </si>
  <si>
    <r>
      <t>Test No.</t>
    </r>
    <r>
      <rPr>
        <sz val="10"/>
        <rFont val="Arial"/>
        <family val="2"/>
      </rPr>
      <t xml:space="preserve">
</t>
    </r>
    <r>
      <rPr>
        <b/>
        <sz val="10"/>
        <color indexed="10"/>
        <rFont val="Arial"/>
        <family val="2"/>
      </rPr>
      <t>Give each test step a unique number for later use or referencing single tests.</t>
    </r>
    <r>
      <rPr>
        <sz val="10"/>
        <rFont val="Arial"/>
        <family val="2"/>
      </rPr>
      <t xml:space="preserve">
When cell 'Test description' is filled, a test  number is generated automatically.</t>
    </r>
  </si>
  <si>
    <r>
      <rPr>
        <b/>
        <sz val="10"/>
        <color indexed="10"/>
        <rFont val="Arial"/>
        <family val="2"/>
      </rPr>
      <t>Test Case Name</t>
    </r>
    <r>
      <rPr>
        <b/>
        <sz val="10"/>
        <rFont val="Arial"/>
        <family val="2"/>
      </rPr>
      <t xml:space="preserve"> (at least one is mandatory)</t>
    </r>
    <r>
      <rPr>
        <sz val="10"/>
        <rFont val="Arial"/>
        <family val="2"/>
      </rPr>
      <t xml:space="preserve">
Describe in few words the topic of the test case containing 1..n test steps.
Multiple test steps may have the same title
Examples: 
“Change Database”, “Open experiment from Workspace”</t>
    </r>
  </si>
  <si>
    <r>
      <rPr>
        <b/>
        <sz val="10"/>
        <color indexed="10"/>
        <rFont val="Arial"/>
        <family val="2"/>
      </rPr>
      <t>Test description</t>
    </r>
    <r>
      <rPr>
        <b/>
        <sz val="10"/>
        <rFont val="Arial"/>
        <family val="2"/>
      </rPr>
      <t xml:space="preserve"> (mandatory)</t>
    </r>
    <r>
      <rPr>
        <sz val="10"/>
        <rFont val="Arial"/>
        <family val="2"/>
      </rPr>
      <t xml:space="preserve">
Provide either the test description direct here or a link to a document  Caliber-AC containing the test description.
Describe the activities and results that are checked.
This may include the expected result / behaviour.
Do only include one type of test / expected result in one test step.
Use multiple test steps to very different results of one test.
Examples:
“All databases on disk selectable”, “Selected database is loaded”, “Old databases are converted”, “Experiment contains all windows”
“All windows are in the correct position and z-order”, “Hardware initialisation is performed”, “Trigger condition is restored”</t>
    </r>
  </si>
  <si>
    <r>
      <rPr>
        <b/>
        <sz val="10"/>
        <color indexed="10"/>
        <rFont val="Arial"/>
        <family val="2"/>
      </rPr>
      <t>Traceability</t>
    </r>
    <r>
      <rPr>
        <b/>
        <sz val="10"/>
        <rFont val="Arial"/>
        <family val="2"/>
      </rPr>
      <t xml:space="preserve"> (Caliber Reference to TestItem (mandatory)</t>
    </r>
    <r>
      <rPr>
        <sz val="10"/>
        <rFont val="Arial"/>
        <family val="2"/>
      </rPr>
      <t xml:space="preserve">
Insert the TestItem ID from Caliber here or insert a Link into Caliber by using the format: http://fe58256:8080/bss/CaliberRMShortcut?data=10.103.1.70,&lt;DatabaseNumber&gt;,&lt;RequirementNumber&gt;
If you use ACs optional for traceability, please add the AC to the Test Description field
</t>
    </r>
  </si>
  <si>
    <r>
      <t xml:space="preserve">Link to Test Records (Optional)
</t>
    </r>
    <r>
      <rPr>
        <sz val="10"/>
        <rFont val="Arial"/>
        <family val="2"/>
      </rPr>
      <t>Use this cell for referencing test records, 
e.g. measure data files, logfiles</t>
    </r>
  </si>
  <si>
    <t>Link to Test Record</t>
  </si>
  <si>
    <t xml:space="preserve">General
This document contains one sheet for each test cycle! 
New test cycles can be added (always copied from the last TestCycle-Sheet) by using the 'Create New Worksheet' button. </t>
  </si>
  <si>
    <t>Document Approver</t>
  </si>
  <si>
    <r>
      <t xml:space="preserve">Meta Data:
</t>
    </r>
    <r>
      <rPr>
        <sz val="10"/>
        <rFont val="Arial"/>
        <family val="2"/>
      </rPr>
      <t>Document Approver: The TPM (or PjM) releases the initial version (content regarding test cases) and when changes on the testcases apply. (indicated by a major version number 1.0, 2.0 etc). The tester documents the test results for each test cycle (inidicated by a minor version number, e.g. 1.1, 1.2, 2.1. A final approvement of the TPM is not necessary in case of test cases are finalized from the beginning (V1.0) and only test results are inserted!</t>
    </r>
  </si>
  <si>
    <r>
      <rPr>
        <b/>
        <sz val="12"/>
        <color indexed="10"/>
        <rFont val="Arial"/>
        <family val="2"/>
      </rPr>
      <t>optional</t>
    </r>
    <r>
      <rPr>
        <sz val="10"/>
        <rFont val="Arial"/>
        <family val="2"/>
      </rPr>
      <t>: Either specify the environment directly with the TestCycle Worksheet or specify it here and add a reference in the TestCycle Worksheet</t>
    </r>
  </si>
  <si>
    <r>
      <t>Priority (optional)
I</t>
    </r>
    <r>
      <rPr>
        <sz val="10"/>
        <rFont val="Arial"/>
        <family val="2"/>
      </rPr>
      <t>f the test fails select the priority for the call. Leave this field empty if there is no error.
If you want to use more then one priority in one cell, you have to disable the data validation in the data ribbon: Change the data validation setting from 'list' to 'any value' - this enables the usage of specific entries here</t>
    </r>
  </si>
  <si>
    <t>PC Environment</t>
  </si>
  <si>
    <r>
      <rPr>
        <b/>
        <sz val="10"/>
        <color indexed="10"/>
        <rFont val="Arial"/>
        <family val="2"/>
      </rPr>
      <t>Result</t>
    </r>
    <r>
      <rPr>
        <b/>
        <sz val="10"/>
        <rFont val="Arial"/>
        <family val="2"/>
      </rPr>
      <t xml:space="preserve"> (mandatory)</t>
    </r>
    <r>
      <rPr>
        <sz val="10"/>
        <rFont val="Arial"/>
        <family val="2"/>
      </rPr>
      <t xml:space="preserve">
Select the result of the test from the list.
Leave this field empty if this test step is skipped.
Skipped tests are displayed in grey in the progress bar.
Results different from OK has to be commented and approved before release.</t>
    </r>
  </si>
  <si>
    <t>Sandner</t>
  </si>
  <si>
    <t>Sandner, Wolfgang</t>
  </si>
  <si>
    <t>English</t>
  </si>
  <si>
    <t>Fe077 (Bosch)</t>
  </si>
  <si>
    <t>Fe076 (Etas)</t>
  </si>
  <si>
    <t>Fe070 (Etas)</t>
  </si>
  <si>
    <t>Environment - Building (Network)</t>
  </si>
  <si>
    <t>X</t>
  </si>
  <si>
    <t>RAS/VPN (Bosch)</t>
  </si>
  <si>
    <t>Fe056 (Etas)</t>
  </si>
  <si>
    <t>Windows 7 Enterprise  64-bit</t>
  </si>
  <si>
    <t>Speed [GHz]</t>
  </si>
  <si>
    <t>CPU [Number]</t>
  </si>
  <si>
    <t>Memory [GB]</t>
  </si>
  <si>
    <t>HP EliteBook 8760w</t>
  </si>
  <si>
    <t>Manual Test Report ICO-Tests</t>
  </si>
  <si>
    <t>Lenovo ThinkPad T530</t>
  </si>
  <si>
    <t>n/a</t>
  </si>
  <si>
    <t>Success if checkout of a repository works without error message (Certificate PKI message can be ignored, accept it permament)</t>
  </si>
  <si>
    <t>Success if checkout of a subfolder of a repository works (A project repository of a very big repo, e. g. Projects.HW) without error message (Certificate PKI message can be ignored, accept it permament)</t>
  </si>
  <si>
    <t>Success if files can be changed, textfiles and files with new office types, e. g. xlsx</t>
  </si>
  <si>
    <t>Success if a read or read write repo can be accessed (content of repo is displayed in the browser)</t>
  </si>
  <si>
    <t>Success if the access is denied, because the read and / or the read write right is missing. Test is ok, if the content of the repository is not displayed.</t>
  </si>
  <si>
    <t>DMS: Checkout Root</t>
  </si>
  <si>
    <t>DMS: Checkout Subfolder</t>
  </si>
  <si>
    <t>DMS: Commit of Change</t>
  </si>
  <si>
    <t>DMS: Add of new File(s)</t>
  </si>
  <si>
    <t>DMS: Add File and commit +[standard]</t>
  </si>
  <si>
    <t>DMS: Access via Internet Browser (IE) +[positive check]</t>
  </si>
  <si>
    <t>DMS: Access via Internet Browser (IE) +[negative check]</t>
  </si>
  <si>
    <t>DMS: Add File and commit +[pre_commit comment | positive check]</t>
  </si>
  <si>
    <t>DMS: Add File and commit +[pre_commit comment | negative check]</t>
  </si>
  <si>
    <t>DMS: Add File and commit +[pre_commit etas_properties | positive check]</t>
  </si>
  <si>
    <t>DMS: Commit to 02_Released folder +[As project member | negative check]</t>
  </si>
  <si>
    <t>DMS: Commit to QAx folder +[negative check]</t>
  </si>
  <si>
    <t>DMS: Commit to 02_Released folder +[As project manager | positive check]</t>
  </si>
  <si>
    <t>DMS: Use of Release Script; new project subfolder</t>
  </si>
  <si>
    <t>DMS: Status tool</t>
  </si>
  <si>
    <t>DMS: Access via Repo Browser +[positive check]</t>
  </si>
  <si>
    <t>DMS: Access via Repo Browser +[negative check]</t>
  </si>
  <si>
    <t>DMS: creation of project day report for PrSC PEP</t>
  </si>
  <si>
    <t>DMS: Restricted file access in Projects.HW</t>
  </si>
  <si>
    <t>DMS: Projects.HW Individual Access</t>
  </si>
  <si>
    <t>DMS: Projects.SW.Ascet.Internal</t>
  </si>
  <si>
    <t>DMS: Creation of overall Project Report</t>
  </si>
  <si>
    <t>Budget Sheet, PM4 export</t>
  </si>
  <si>
    <t>Try to access file to your project releated sub folder (e.g. Project.HW/…/01_Draft/Project_Documents/22_restr_External_Communication/ )
 If you can't access please write email to Wolfgang.sandner@etas.com</t>
  </si>
  <si>
    <t>negative check: User without access rights tries to access the repository. Expected result is a message indicating  denial of access.</t>
  </si>
  <si>
    <t>creation of overall project report</t>
  </si>
  <si>
    <t>video (perf test) with prehook comment hook</t>
  </si>
  <si>
    <t>Success if a file can be added to a repository, (test a repo without an active pre_commit-hook)</t>
  </si>
  <si>
    <t>Success if a file can be added to a repository with a commit comment, (test a repo with an active pre_commit-hook for checking comments); test is ok, if commit is possible</t>
  </si>
  <si>
    <t>Success if a file can be added to a repository without a commit comment, (test a repo with an active pre_commit-hook for checking comments); test is ok, if commit is not possible</t>
  </si>
  <si>
    <t>Success if a file can be added to a repository with all etas properties, (test a repo with an active pre_commit-hook for checking the properties); test is ok, if commit is possible</t>
  </si>
  <si>
    <t>Success if (in the role as a project member) a commit is not possible; test ok, if commit is not possible</t>
  </si>
  <si>
    <t>Success if a commit is not possible</t>
  </si>
  <si>
    <t>Success if (in the role as a project manager) a commit is possible</t>
  </si>
  <si>
    <t>Basic Functionality of Relase Script including Saving and restoring the checked files via javascript client-side.; Success if Files are released to 02_Released</t>
  </si>
  <si>
    <t>Prerequisites: client version of working copy has to be same as version status tool. Basic functionality of Status Tool is the change of SVN properties. Success, if the properties can be set and the tool identifies the folder 01_Draft of the working copy correctly.</t>
  </si>
  <si>
    <t xml:space="preserve">e.g. FE2_ETAS_Q_DMS_PROJECTS_HW_STANDARD_10581_RW  (Depending on your existing privileges in the production environement, you will get access)
</t>
  </si>
  <si>
    <t>add new file containing valid special windows characters such as 'ÄÖÜ!$()=' but not '%' or '§'</t>
  </si>
  <si>
    <t>DMS: Filename with special characters (1)</t>
  </si>
  <si>
    <t/>
  </si>
  <si>
    <t>After the Release script is fnished save the XML- File using the button "Download setting for later reuse"</t>
  </si>
  <si>
    <t>DMS: Use of Release Script; reuse Release configuration</t>
  </si>
  <si>
    <t>DMS: Use of Release Script; save Release configuration for reuse</t>
  </si>
  <si>
    <t>Reuse saved XML-file using the button "Upload previous saved configuration file:"</t>
  </si>
  <si>
    <t>DMS: Start Release Script on any 01_Draft folder</t>
  </si>
  <si>
    <t>Success if website of the Release Script is displayed in the IE browser</t>
  </si>
  <si>
    <t>DMS: Start Release Script on a 01_Draft folder with uncommitted changes</t>
  </si>
  <si>
    <t>Success if a pop-up window is displayed warning you about the uncommitted changes on your local working copy of the 01_Draft folder</t>
  </si>
  <si>
    <t>DMS: Release selected files</t>
  </si>
  <si>
    <t>Release selected files after  the Release Script website is shown. Check the Finisehd Release if "URL to 02_Released/ folder on Subversion DMS" is properly. Cklick on "Download Settings for later reuse" and save the dms file.</t>
  </si>
  <si>
    <t>DMS: Release files using previous saved configuration</t>
  </si>
  <si>
    <t>open the Release Script on the previous used 01_Draft folder. Expand on "Upload previous saved configuration file:" section and browse the previous saved config file and click on "Submit Query". Afterwards "Release the selected files".</t>
  </si>
  <si>
    <t>DMS: Create repository using admin script</t>
  </si>
  <si>
    <t>navigate to the admin scripts and create a new repository https://etasdms.de.bosch.com/admin/</t>
  </si>
  <si>
    <t>DMS: Create project structure within existing repository using admin script</t>
  </si>
  <si>
    <t>navigate to the admin scripts and Create project structure within existing repository
https://etasdms.de.bosch.com/admin/</t>
  </si>
  <si>
    <t>DMS: Process QA milestone for a given project using admin script</t>
  </si>
  <si>
    <t>navigate to the admin scripts andProcess QA milestone for a given project https://etasdms.de.bosch.com/admin/</t>
  </si>
  <si>
    <t>Yildirim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</si>
</sst>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name val="Arial"/>
    </font>
    <font>
      <b/>
      <sz val="14"/>
      <name val="Arial"/>
      <family val="2"/>
    </font>
    <font>
      <sz val="10"/>
      <color indexed="8"/>
      <name val="Arial"/>
      <family val="2"/>
    </font>
    <font>
      <b/>
      <sz val="10"/>
      <color indexed="8"/>
      <name val="Arial"/>
      <family val="2"/>
    </font>
    <font>
      <sz val="10"/>
      <color indexed="22"/>
      <name val="Arial"/>
      <family val="2"/>
    </font>
    <font>
      <b/>
      <sz val="10"/>
      <name val="Arial"/>
      <family val="2"/>
    </font>
    <font>
      <sz val="6"/>
      <color indexed="8"/>
      <name val="Arial"/>
      <family val="2"/>
    </font>
    <font>
      <b/>
      <sz val="10"/>
      <color indexed="22"/>
      <name val="Arial"/>
      <family val="2"/>
    </font>
    <font>
      <b/>
      <sz val="6"/>
      <color indexed="22"/>
      <name val="Arial"/>
      <family val="2"/>
    </font>
    <font>
      <sz val="10"/>
      <name val="Arial"/>
      <family val="2"/>
    </font>
    <font>
      <sz val="6"/>
      <name val="Arial"/>
      <family val="2"/>
    </font>
    <font>
      <b/>
      <sz val="6"/>
      <name val="Arial"/>
      <family val="2"/>
    </font>
    <font>
      <b/>
      <sz val="12"/>
      <name val="Arial"/>
      <family val="2"/>
    </font>
    <font>
      <sz val="14"/>
      <name val="Arial"/>
      <family val="2"/>
    </font>
    <font>
      <sz val="10"/>
      <name val="Tahoma"/>
      <family val="2"/>
    </font>
    <font>
      <b/>
      <sz val="20"/>
      <color indexed="9"/>
      <name val="Tahoma"/>
      <family val="2"/>
    </font>
    <font>
      <b/>
      <sz val="20"/>
      <name val="Tahoma"/>
      <family val="2"/>
    </font>
    <font>
      <sz val="18"/>
      <name val="Tahoma"/>
      <family val="2"/>
    </font>
    <font>
      <b/>
      <sz val="10"/>
      <name val="Tahoma"/>
      <family val="2"/>
    </font>
    <font>
      <b/>
      <sz val="10"/>
      <color indexed="10"/>
      <name val="Tahoma"/>
      <family val="2"/>
    </font>
    <font>
      <sz val="16"/>
      <color indexed="55"/>
      <name val="Tahoma"/>
      <family val="2"/>
    </font>
    <font>
      <b/>
      <sz val="10"/>
      <color indexed="10"/>
      <name val="Arial"/>
      <family val="2"/>
    </font>
    <font>
      <b/>
      <sz val="12"/>
      <color indexed="10"/>
      <name val="Arial"/>
      <family val="2"/>
    </font>
    <font>
      <sz val="9"/>
      <color indexed="81"/>
      <name val="Tahoma"/>
      <family val="2"/>
    </font>
    <font>
      <b/>
      <sz val="9"/>
      <color indexed="81"/>
      <name val="Tahoma"/>
      <family val="2"/>
    </font>
    <font>
      <sz val="10"/>
      <color theme="3" tint="0.39997558519241921"/>
      <name val="Tahoma"/>
      <family val="2"/>
    </font>
    <font>
      <b/>
      <sz val="10"/>
      <color rgb="FFFF0000"/>
      <name val="Arial"/>
      <family val="2"/>
    </font>
    <font>
      <b/>
      <sz val="14"/>
      <color theme="4"/>
      <name val="Arial"/>
      <family val="2"/>
    </font>
    <font>
      <u/>
      <sz val="10"/>
      <color theme="10"/>
      <name val="Arial"/>
      <family val="2"/>
    </font>
    <font>
      <u/>
      <sz val="10"/>
      <color theme="1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249977111117893"/>
        <bgColor indexed="64"/>
      </patternFill>
    </fill>
    <fill>
      <patternFill patternType="solid">
        <fgColor theme="7"/>
        <bgColor indexed="64"/>
      </patternFill>
    </fill>
    <fill>
      <patternFill patternType="solid">
        <fgColor theme="3" tint="0.7999816888943144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s>
  <cellStyleXfs count="6">
    <xf numFmtId="0" fontId="0" fillId="0" borderId="0"/>
    <xf numFmtId="0" fontId="14" fillId="0" borderId="0">
      <alignment vertical="top"/>
    </xf>
    <xf numFmtId="0" fontId="14" fillId="0" borderId="0">
      <alignment vertical="top"/>
    </xf>
    <xf numFmtId="0" fontId="14" fillId="0" borderId="0">
      <alignment vertical="top"/>
    </xf>
    <xf numFmtId="0" fontId="14" fillId="0" borderId="0">
      <alignment vertical="top"/>
    </xf>
    <xf numFmtId="0" fontId="28" fillId="0" borderId="0" applyNumberFormat="0" applyFill="0" applyBorder="0" applyAlignment="0" applyProtection="0"/>
  </cellStyleXfs>
  <cellXfs count="134">
    <xf numFmtId="0" fontId="0" fillId="0" borderId="0" xfId="0"/>
    <xf numFmtId="0" fontId="1" fillId="2" borderId="2" xfId="0" applyFont="1" applyFill="1" applyBorder="1" applyAlignment="1">
      <alignment vertical="top"/>
    </xf>
    <xf numFmtId="49" fontId="0" fillId="2" borderId="3" xfId="0" applyNumberFormat="1" applyFill="1" applyBorder="1" applyAlignment="1">
      <alignment vertical="top" wrapText="1"/>
    </xf>
    <xf numFmtId="0" fontId="2" fillId="2" borderId="2" xfId="0" applyFont="1" applyFill="1" applyBorder="1" applyAlignment="1">
      <alignment vertical="top"/>
    </xf>
    <xf numFmtId="0" fontId="1" fillId="2" borderId="4" xfId="0" applyFont="1" applyFill="1" applyBorder="1" applyAlignment="1">
      <alignment vertical="top"/>
    </xf>
    <xf numFmtId="49" fontId="0" fillId="2" borderId="0" xfId="0" applyNumberFormat="1" applyFill="1" applyBorder="1" applyAlignment="1">
      <alignment vertical="top" wrapText="1"/>
    </xf>
    <xf numFmtId="0" fontId="3" fillId="2" borderId="5" xfId="0" applyFont="1" applyFill="1" applyBorder="1" applyAlignment="1">
      <alignment vertical="top"/>
    </xf>
    <xf numFmtId="0" fontId="4" fillId="2" borderId="4" xfId="0" applyFont="1" applyFill="1" applyBorder="1" applyAlignment="1">
      <alignment vertical="top"/>
    </xf>
    <xf numFmtId="1" fontId="3" fillId="2" borderId="5" xfId="0" applyNumberFormat="1" applyFont="1" applyFill="1" applyBorder="1" applyAlignment="1">
      <alignment vertical="top" wrapText="1"/>
    </xf>
    <xf numFmtId="1" fontId="4" fillId="2" borderId="4" xfId="0" applyNumberFormat="1" applyFont="1" applyFill="1" applyBorder="1" applyAlignment="1" applyProtection="1">
      <alignment vertical="top"/>
      <protection locked="0"/>
    </xf>
    <xf numFmtId="49" fontId="7" fillId="2" borderId="6" xfId="0" applyNumberFormat="1" applyFont="1" applyFill="1" applyBorder="1" applyAlignment="1">
      <alignment vertical="top" wrapText="1"/>
    </xf>
    <xf numFmtId="1" fontId="3" fillId="2" borderId="7" xfId="0" applyNumberFormat="1" applyFont="1" applyFill="1" applyBorder="1" applyAlignment="1">
      <alignment vertical="top" wrapText="1"/>
    </xf>
    <xf numFmtId="0" fontId="3" fillId="2" borderId="7" xfId="0" applyFont="1" applyFill="1" applyBorder="1" applyAlignment="1">
      <alignment vertical="top"/>
    </xf>
    <xf numFmtId="0" fontId="4" fillId="2" borderId="8" xfId="0" applyFont="1" applyFill="1" applyBorder="1" applyAlignment="1">
      <alignment vertical="top"/>
    </xf>
    <xf numFmtId="0" fontId="4" fillId="2" borderId="3" xfId="0" applyFont="1" applyFill="1" applyBorder="1" applyAlignment="1">
      <alignment vertical="top"/>
    </xf>
    <xf numFmtId="0" fontId="9" fillId="2" borderId="0" xfId="0" applyFont="1" applyFill="1" applyBorder="1" applyAlignment="1">
      <alignment vertical="top"/>
    </xf>
    <xf numFmtId="49" fontId="7" fillId="2" borderId="0" xfId="0" applyNumberFormat="1" applyFont="1" applyFill="1" applyBorder="1" applyAlignment="1">
      <alignment vertical="top" wrapText="1"/>
    </xf>
    <xf numFmtId="1" fontId="7" fillId="2" borderId="0" xfId="0" applyNumberFormat="1" applyFont="1" applyFill="1" applyBorder="1" applyAlignment="1">
      <alignment vertical="top" wrapText="1"/>
    </xf>
    <xf numFmtId="0" fontId="4" fillId="2" borderId="0" xfId="0" applyFont="1" applyFill="1" applyBorder="1" applyAlignment="1">
      <alignment vertical="top"/>
    </xf>
    <xf numFmtId="49" fontId="5" fillId="2" borderId="6" xfId="0" applyNumberFormat="1" applyFont="1" applyFill="1" applyBorder="1" applyAlignment="1">
      <alignment vertical="top" wrapText="1"/>
    </xf>
    <xf numFmtId="1" fontId="5" fillId="2" borderId="6" xfId="0" applyNumberFormat="1" applyFont="1" applyFill="1" applyBorder="1" applyAlignment="1">
      <alignment vertical="top" wrapText="1"/>
    </xf>
    <xf numFmtId="0" fontId="2" fillId="2" borderId="6" xfId="0" applyFont="1" applyFill="1" applyBorder="1" applyAlignment="1">
      <alignment vertical="top"/>
    </xf>
    <xf numFmtId="49" fontId="5" fillId="2" borderId="9" xfId="0" applyNumberFormat="1" applyFont="1" applyFill="1" applyBorder="1" applyAlignment="1">
      <alignment vertical="top" wrapText="1"/>
    </xf>
    <xf numFmtId="0" fontId="5" fillId="2" borderId="9" xfId="0" applyFont="1" applyFill="1" applyBorder="1" applyAlignment="1">
      <alignment vertical="top"/>
    </xf>
    <xf numFmtId="0" fontId="0" fillId="0" borderId="0" xfId="0" applyAlignment="1">
      <alignment vertical="top"/>
    </xf>
    <xf numFmtId="49" fontId="0" fillId="0" borderId="0" xfId="0" applyNumberFormat="1" applyAlignment="1">
      <alignment vertical="top" wrapText="1"/>
    </xf>
    <xf numFmtId="49" fontId="9" fillId="0" borderId="0" xfId="0" applyNumberFormat="1" applyFont="1" applyAlignment="1">
      <alignment vertical="top" wrapText="1"/>
    </xf>
    <xf numFmtId="0" fontId="3" fillId="2" borderId="10" xfId="0" applyFont="1" applyFill="1" applyBorder="1" applyAlignment="1">
      <alignment vertical="top"/>
    </xf>
    <xf numFmtId="0" fontId="0" fillId="2" borderId="0" xfId="0" applyFill="1" applyBorder="1"/>
    <xf numFmtId="0" fontId="0" fillId="2" borderId="3" xfId="0" applyFill="1" applyBorder="1"/>
    <xf numFmtId="0" fontId="0" fillId="2" borderId="11" xfId="0" applyFill="1" applyBorder="1"/>
    <xf numFmtId="0" fontId="0" fillId="2" borderId="5" xfId="0" applyFill="1" applyBorder="1"/>
    <xf numFmtId="0" fontId="0" fillId="2" borderId="4" xfId="0" applyFill="1" applyBorder="1"/>
    <xf numFmtId="0" fontId="5" fillId="2" borderId="4" xfId="0" applyFont="1" applyFill="1" applyBorder="1"/>
    <xf numFmtId="0" fontId="5" fillId="2" borderId="8" xfId="0" applyFont="1" applyFill="1" applyBorder="1"/>
    <xf numFmtId="0" fontId="5" fillId="2" borderId="2" xfId="0" applyFont="1" applyFill="1" applyBorder="1"/>
    <xf numFmtId="0" fontId="5" fillId="2" borderId="3" xfId="0" applyFont="1" applyFill="1" applyBorder="1"/>
    <xf numFmtId="0" fontId="5" fillId="2" borderId="11" xfId="0" applyFont="1" applyFill="1" applyBorder="1"/>
    <xf numFmtId="0" fontId="4" fillId="2" borderId="0" xfId="0" applyFont="1" applyFill="1" applyBorder="1"/>
    <xf numFmtId="0" fontId="4" fillId="2" borderId="5" xfId="0" applyFont="1" applyFill="1" applyBorder="1"/>
    <xf numFmtId="0" fontId="4" fillId="2" borderId="6" xfId="0" applyFont="1" applyFill="1" applyBorder="1"/>
    <xf numFmtId="0" fontId="4" fillId="2" borderId="7" xfId="0" applyFont="1" applyFill="1" applyBorder="1"/>
    <xf numFmtId="0" fontId="4" fillId="0" borderId="0" xfId="0" applyFont="1"/>
    <xf numFmtId="0" fontId="5" fillId="0" borderId="0" xfId="0" applyFont="1" applyAlignment="1">
      <alignment vertical="top" wrapText="1"/>
    </xf>
    <xf numFmtId="0" fontId="12" fillId="0" borderId="0" xfId="0" applyFont="1"/>
    <xf numFmtId="0" fontId="0" fillId="0" borderId="0" xfId="0" applyBorder="1"/>
    <xf numFmtId="0" fontId="0" fillId="0" borderId="5" xfId="0" applyBorder="1"/>
    <xf numFmtId="0" fontId="0" fillId="0" borderId="6" xfId="0" applyBorder="1"/>
    <xf numFmtId="0" fontId="0" fillId="0" borderId="7" xfId="0" applyBorder="1"/>
    <xf numFmtId="0" fontId="0" fillId="2" borderId="8" xfId="0" applyFill="1" applyBorder="1"/>
    <xf numFmtId="0" fontId="0" fillId="0" borderId="0" xfId="0" applyFill="1" applyBorder="1"/>
    <xf numFmtId="49" fontId="2" fillId="2" borderId="3" xfId="0" applyNumberFormat="1" applyFont="1" applyFill="1" applyBorder="1" applyAlignment="1">
      <alignment vertical="top" wrapText="1"/>
    </xf>
    <xf numFmtId="49" fontId="2" fillId="2" borderId="0" xfId="0" applyNumberFormat="1" applyFont="1" applyFill="1" applyBorder="1" applyAlignment="1">
      <alignment vertical="top" wrapText="1"/>
    </xf>
    <xf numFmtId="1" fontId="3" fillId="2" borderId="0" xfId="0" applyNumberFormat="1" applyFont="1" applyFill="1" applyBorder="1" applyAlignment="1">
      <alignment vertical="top" wrapText="1"/>
    </xf>
    <xf numFmtId="1" fontId="3" fillId="2" borderId="6" xfId="0" applyNumberFormat="1" applyFont="1" applyFill="1" applyBorder="1" applyAlignment="1">
      <alignment vertical="top" wrapText="1"/>
    </xf>
    <xf numFmtId="49" fontId="9" fillId="0" borderId="0" xfId="0" quotePrefix="1" applyNumberFormat="1" applyFont="1" applyAlignment="1">
      <alignment vertical="top" wrapText="1"/>
    </xf>
    <xf numFmtId="0" fontId="9" fillId="0" borderId="0" xfId="0" applyFont="1" applyAlignment="1">
      <alignment vertical="top"/>
    </xf>
    <xf numFmtId="0" fontId="1" fillId="4" borderId="2" xfId="0" applyFont="1" applyFill="1" applyBorder="1" applyAlignment="1">
      <alignment vertical="top"/>
    </xf>
    <xf numFmtId="0" fontId="8" fillId="4" borderId="4" xfId="0" applyFont="1" applyFill="1" applyBorder="1" applyAlignment="1">
      <alignment vertical="top"/>
    </xf>
    <xf numFmtId="0" fontId="11" fillId="4" borderId="8" xfId="0" applyFont="1" applyFill="1" applyBorder="1" applyAlignment="1">
      <alignment vertical="top"/>
    </xf>
    <xf numFmtId="0" fontId="5" fillId="4" borderId="12" xfId="0" applyFont="1" applyFill="1" applyBorder="1" applyAlignment="1">
      <alignment vertical="top" wrapText="1"/>
    </xf>
    <xf numFmtId="0" fontId="0" fillId="4" borderId="0" xfId="0" applyFill="1" applyAlignment="1">
      <alignment vertical="top"/>
    </xf>
    <xf numFmtId="0" fontId="0" fillId="4" borderId="0" xfId="0" applyFill="1"/>
    <xf numFmtId="0" fontId="3" fillId="2" borderId="0" xfId="0" applyFont="1" applyFill="1" applyBorder="1" applyAlignment="1">
      <alignment vertical="top"/>
    </xf>
    <xf numFmtId="0" fontId="4" fillId="2" borderId="6" xfId="0" applyFont="1" applyFill="1" applyBorder="1" applyAlignment="1">
      <alignment vertical="top"/>
    </xf>
    <xf numFmtId="1" fontId="3" fillId="2" borderId="11" xfId="0" applyNumberFormat="1" applyFont="1" applyFill="1" applyBorder="1" applyAlignment="1">
      <alignment vertical="top" wrapText="1"/>
    </xf>
    <xf numFmtId="49" fontId="2" fillId="2" borderId="4" xfId="0" applyNumberFormat="1" applyFont="1" applyFill="1" applyBorder="1" applyAlignment="1">
      <alignment vertical="top" wrapText="1"/>
    </xf>
    <xf numFmtId="0" fontId="3" fillId="2" borderId="9" xfId="0" applyFont="1" applyFill="1" applyBorder="1" applyAlignment="1">
      <alignment vertical="top"/>
    </xf>
    <xf numFmtId="0" fontId="3" fillId="2" borderId="6" xfId="0" applyFont="1" applyFill="1" applyBorder="1" applyAlignment="1">
      <alignment vertical="top"/>
    </xf>
    <xf numFmtId="0" fontId="1" fillId="4" borderId="0" xfId="0" applyNumberFormat="1" applyFont="1" applyFill="1" applyBorder="1" applyAlignment="1">
      <alignment vertical="top"/>
    </xf>
    <xf numFmtId="1" fontId="4" fillId="2" borderId="0" xfId="0" applyNumberFormat="1" applyFont="1" applyFill="1" applyBorder="1"/>
    <xf numFmtId="0" fontId="0" fillId="3" borderId="0" xfId="3" applyFont="1" applyFill="1" applyProtection="1">
      <alignment vertical="top"/>
      <protection locked="0"/>
    </xf>
    <xf numFmtId="0" fontId="16" fillId="3" borderId="0" xfId="3" applyFont="1" applyFill="1" applyAlignment="1" applyProtection="1">
      <alignment vertical="center"/>
      <protection locked="0"/>
    </xf>
    <xf numFmtId="0" fontId="0" fillId="3" borderId="0" xfId="3" applyFont="1" applyFill="1" applyAlignment="1" applyProtection="1">
      <alignment vertical="center"/>
      <protection locked="0"/>
    </xf>
    <xf numFmtId="0" fontId="17" fillId="3" borderId="0" xfId="3" applyFont="1" applyFill="1" applyAlignment="1" applyProtection="1">
      <alignment horizontal="center" vertical="top"/>
      <protection locked="0"/>
    </xf>
    <xf numFmtId="0" fontId="0" fillId="3" borderId="0" xfId="3" applyFont="1" applyFill="1" applyAlignment="1" applyProtection="1">
      <alignment horizontal="center" vertical="top"/>
      <protection locked="0"/>
    </xf>
    <xf numFmtId="0" fontId="25" fillId="3" borderId="0" xfId="3" applyFont="1" applyFill="1" applyProtection="1">
      <alignment vertical="top"/>
      <protection locked="0"/>
    </xf>
    <xf numFmtId="0" fontId="0" fillId="3" borderId="0" xfId="3" applyFont="1" applyFill="1" applyBorder="1" applyAlignment="1" applyProtection="1">
      <alignment horizontal="left"/>
      <protection locked="0"/>
    </xf>
    <xf numFmtId="49" fontId="0" fillId="3" borderId="0" xfId="3" applyNumberFormat="1" applyFont="1" applyFill="1" applyProtection="1">
      <alignment vertical="top"/>
      <protection locked="0"/>
    </xf>
    <xf numFmtId="14" fontId="0" fillId="3" borderId="0" xfId="3" applyNumberFormat="1" applyFont="1" applyFill="1" applyProtection="1">
      <alignment vertical="top"/>
      <protection locked="0"/>
    </xf>
    <xf numFmtId="0" fontId="14" fillId="0" borderId="1" xfId="1" applyBorder="1" applyAlignment="1">
      <alignment horizontal="center" vertical="top"/>
    </xf>
    <xf numFmtId="0" fontId="14" fillId="0" borderId="1" xfId="1" applyBorder="1">
      <alignment vertical="top"/>
    </xf>
    <xf numFmtId="0" fontId="19" fillId="3" borderId="0" xfId="3" applyFont="1" applyFill="1" applyAlignment="1" applyProtection="1">
      <alignment vertical="top" wrapText="1"/>
      <protection locked="0"/>
    </xf>
    <xf numFmtId="0" fontId="0" fillId="3" borderId="0" xfId="3" applyFont="1" applyFill="1" applyAlignment="1" applyProtection="1">
      <alignment vertical="top" wrapText="1"/>
      <protection locked="0"/>
    </xf>
    <xf numFmtId="0" fontId="9" fillId="0" borderId="0" xfId="0" applyFont="1" applyAlignment="1">
      <alignment vertical="top" wrapText="1"/>
    </xf>
    <xf numFmtId="0" fontId="18" fillId="5" borderId="1" xfId="2" applyFont="1" applyFill="1" applyBorder="1" applyAlignment="1">
      <alignment horizontal="center" vertical="top"/>
    </xf>
    <xf numFmtId="0" fontId="9" fillId="6" borderId="3" xfId="0" applyFont="1" applyFill="1" applyBorder="1"/>
    <xf numFmtId="0" fontId="9" fillId="6" borderId="0" xfId="0" applyFont="1" applyFill="1" applyBorder="1"/>
    <xf numFmtId="0" fontId="0" fillId="0" borderId="2" xfId="0" applyBorder="1"/>
    <xf numFmtId="0" fontId="9" fillId="6" borderId="11" xfId="0" applyFont="1" applyFill="1" applyBorder="1"/>
    <xf numFmtId="0" fontId="9" fillId="6" borderId="4" xfId="0" applyFont="1" applyFill="1" applyBorder="1"/>
    <xf numFmtId="0" fontId="9" fillId="6" borderId="5" xfId="0" applyFont="1" applyFill="1" applyBorder="1"/>
    <xf numFmtId="0" fontId="9" fillId="2" borderId="6" xfId="0" applyFont="1" applyFill="1" applyBorder="1"/>
    <xf numFmtId="0" fontId="0" fillId="2" borderId="6" xfId="0" applyFill="1" applyBorder="1"/>
    <xf numFmtId="0" fontId="0" fillId="2" borderId="7" xfId="0" applyFill="1" applyBorder="1"/>
    <xf numFmtId="0" fontId="9" fillId="6" borderId="2" xfId="0" applyFont="1" applyFill="1" applyBorder="1"/>
    <xf numFmtId="0" fontId="26" fillId="0" borderId="0" xfId="0" applyFont="1" applyAlignment="1">
      <alignment vertical="top" wrapText="1"/>
    </xf>
    <xf numFmtId="1" fontId="5" fillId="2" borderId="0" xfId="0" applyNumberFormat="1" applyFont="1" applyFill="1" applyBorder="1" applyAlignment="1">
      <alignment vertical="top" wrapText="1"/>
    </xf>
    <xf numFmtId="49" fontId="27" fillId="0" borderId="0" xfId="0" applyNumberFormat="1" applyFont="1" applyBorder="1" applyAlignment="1">
      <alignment horizontal="left" vertical="top" wrapText="1"/>
    </xf>
    <xf numFmtId="14" fontId="27" fillId="0" borderId="0" xfId="0" applyNumberFormat="1" applyFont="1" applyBorder="1" applyAlignment="1">
      <alignment horizontal="left" vertical="top" wrapText="1"/>
    </xf>
    <xf numFmtId="0" fontId="13" fillId="6" borderId="4" xfId="0" applyFont="1" applyFill="1" applyBorder="1"/>
    <xf numFmtId="0" fontId="2" fillId="2" borderId="0" xfId="0" applyFont="1" applyFill="1" applyBorder="1"/>
    <xf numFmtId="0" fontId="6" fillId="2" borderId="0" xfId="0" applyFont="1" applyFill="1" applyBorder="1"/>
    <xf numFmtId="0" fontId="10" fillId="2" borderId="0" xfId="0" applyFont="1" applyFill="1" applyBorder="1"/>
    <xf numFmtId="0" fontId="2" fillId="2" borderId="13" xfId="0" applyFont="1" applyFill="1" applyBorder="1" applyAlignment="1">
      <alignment vertical="top"/>
    </xf>
    <xf numFmtId="0" fontId="4" fillId="2" borderId="14" xfId="0" applyFont="1" applyFill="1" applyBorder="1" applyAlignment="1">
      <alignment vertical="top"/>
    </xf>
    <xf numFmtId="1" fontId="4" fillId="2" borderId="14" xfId="0" applyNumberFormat="1" applyFont="1" applyFill="1" applyBorder="1" applyAlignment="1" applyProtection="1">
      <alignment vertical="top"/>
      <protection locked="0"/>
    </xf>
    <xf numFmtId="0" fontId="4" fillId="2" borderId="15" xfId="0" applyFont="1" applyFill="1" applyBorder="1" applyAlignment="1">
      <alignment vertical="top"/>
    </xf>
    <xf numFmtId="0" fontId="9" fillId="2" borderId="14" xfId="0" applyFont="1" applyFill="1" applyBorder="1" applyAlignment="1">
      <alignment vertical="top"/>
    </xf>
    <xf numFmtId="0" fontId="2" fillId="2" borderId="15" xfId="0" applyFont="1" applyFill="1" applyBorder="1" applyAlignment="1">
      <alignment vertical="top"/>
    </xf>
    <xf numFmtId="0" fontId="5" fillId="2" borderId="16" xfId="0" applyFont="1" applyFill="1" applyBorder="1" applyAlignment="1">
      <alignment vertical="top"/>
    </xf>
    <xf numFmtId="49" fontId="1" fillId="4" borderId="0" xfId="0" applyNumberFormat="1" applyFont="1" applyFill="1" applyBorder="1" applyAlignment="1">
      <alignment horizontal="left" vertical="top" wrapText="1"/>
    </xf>
    <xf numFmtId="49" fontId="27" fillId="4" borderId="0" xfId="0" applyNumberFormat="1" applyFont="1" applyFill="1" applyBorder="1" applyAlignment="1">
      <alignment horizontal="left" vertical="top" wrapText="1"/>
    </xf>
    <xf numFmtId="14" fontId="27" fillId="4" borderId="0" xfId="0" applyNumberFormat="1" applyFont="1" applyFill="1" applyBorder="1" applyAlignment="1">
      <alignment horizontal="left" vertical="top" wrapText="1"/>
    </xf>
    <xf numFmtId="0" fontId="9" fillId="2" borderId="4" xfId="0" applyFont="1" applyFill="1" applyBorder="1"/>
    <xf numFmtId="0" fontId="9" fillId="2" borderId="8" xfId="0" applyFont="1" applyFill="1" applyBorder="1"/>
    <xf numFmtId="14" fontId="14" fillId="0" borderId="1" xfId="1" applyNumberFormat="1" applyBorder="1" applyAlignment="1">
      <alignment horizontal="center" vertical="top"/>
    </xf>
    <xf numFmtId="0" fontId="9" fillId="0" borderId="0" xfId="0" applyFont="1" applyBorder="1"/>
    <xf numFmtId="0" fontId="9" fillId="0" borderId="6" xfId="0" applyFont="1" applyBorder="1"/>
    <xf numFmtId="0" fontId="0" fillId="0" borderId="0" xfId="0" applyAlignment="1">
      <alignment wrapText="1"/>
    </xf>
    <xf numFmtId="0" fontId="28" fillId="0" borderId="0" xfId="5"/>
    <xf numFmtId="0" fontId="9" fillId="0" borderId="0" xfId="0" applyNumberFormat="1" applyFont="1" applyAlignment="1">
      <alignment vertical="top" wrapText="1"/>
    </xf>
    <xf numFmtId="0" fontId="9" fillId="0" borderId="0" xfId="0" applyFont="1"/>
    <xf numFmtId="0" fontId="9" fillId="0" borderId="0" xfId="0" applyFont="1" applyAlignment="1">
      <alignment wrapText="1"/>
    </xf>
    <xf numFmtId="0" fontId="29" fillId="0" borderId="0" xfId="5" applyFont="1" applyAlignment="1">
      <alignment wrapText="1"/>
    </xf>
    <xf numFmtId="49" fontId="28" fillId="0" borderId="0" xfId="5" applyNumberFormat="1" applyAlignment="1">
      <alignment vertical="top" wrapText="1"/>
    </xf>
    <xf numFmtId="0" fontId="14" fillId="5" borderId="17" xfId="2" applyFill="1" applyBorder="1">
      <alignment vertical="top"/>
    </xf>
    <xf numFmtId="0" fontId="14" fillId="5" borderId="18" xfId="2" applyFill="1" applyBorder="1">
      <alignment vertical="top"/>
    </xf>
    <xf numFmtId="0" fontId="9" fillId="3" borderId="1" xfId="3" applyFont="1" applyFill="1" applyBorder="1" applyAlignment="1" applyProtection="1">
      <alignment horizontal="left"/>
      <protection locked="0"/>
    </xf>
    <xf numFmtId="0" fontId="0" fillId="3" borderId="1" xfId="3" applyFont="1" applyFill="1" applyBorder="1" applyAlignment="1" applyProtection="1">
      <alignment horizontal="left"/>
      <protection locked="0"/>
    </xf>
    <xf numFmtId="0" fontId="15" fillId="2" borderId="0" xfId="3" applyNumberFormat="1" applyFont="1" applyFill="1" applyAlignment="1" applyProtection="1">
      <alignment horizontal="center" vertical="center"/>
    </xf>
    <xf numFmtId="0" fontId="20" fillId="3" borderId="0" xfId="3" applyFont="1" applyFill="1" applyAlignment="1" applyProtection="1">
      <alignment horizontal="center" vertical="top"/>
    </xf>
    <xf numFmtId="0" fontId="18" fillId="0" borderId="19" xfId="1" applyFont="1" applyBorder="1" applyAlignment="1">
      <alignment vertical="center"/>
    </xf>
    <xf numFmtId="0" fontId="28" fillId="0" borderId="0" xfId="5" applyAlignment="1">
      <alignment horizontal="left" wrapText="1"/>
    </xf>
  </cellXfs>
  <cellStyles count="6">
    <cellStyle name="Hyperlink" xfId="5" builtinId="8"/>
    <cellStyle name="Normal" xfId="0" builtinId="0"/>
    <cellStyle name="Normal 2" xfId="1"/>
    <cellStyle name="Normal_Meta Data" xfId="2"/>
    <cellStyle name="Standard 2" xfId="4"/>
    <cellStyle name="Standard_CM_Plan_V14_Ri" xfId="3"/>
  </cellStyles>
  <dxfs count="35">
    <dxf>
      <fill>
        <patternFill>
          <bgColor rgb="FFFF00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indexed="13"/>
        </patternFill>
      </fill>
    </dxf>
    <dxf>
      <fill>
        <patternFill>
          <bgColor indexed="11"/>
        </patternFill>
      </fill>
    </dxf>
    <dxf>
      <fill>
        <patternFill>
          <bgColor indexed="10"/>
        </patternFill>
      </fill>
    </dxf>
    <dxf>
      <fill>
        <patternFill>
          <bgColor rgb="FF55EF31"/>
        </patternFill>
      </fill>
    </dxf>
    <dxf>
      <fill>
        <patternFill>
          <bgColor rgb="FFFFFF00"/>
        </patternFill>
      </fill>
    </dxf>
    <dxf>
      <fill>
        <patternFill>
          <bgColor rgb="FFFF0000"/>
        </patternFill>
      </fill>
    </dxf>
    <dxf>
      <fill>
        <patternFill>
          <bgColor indexed="13"/>
        </patternFill>
      </fill>
    </dxf>
    <dxf>
      <fill>
        <patternFill>
          <bgColor indexed="11"/>
        </patternFill>
      </fill>
    </dxf>
    <dxf>
      <fill>
        <patternFill>
          <bgColor indexed="10"/>
        </patternFill>
      </fill>
    </dxf>
    <dxf>
      <font>
        <b/>
        <i val="0"/>
        <condense val="0"/>
        <extend val="0"/>
        <color indexed="11"/>
      </font>
    </dxf>
    <dxf>
      <font>
        <b/>
        <i val="0"/>
        <condense val="0"/>
        <extend val="0"/>
        <color indexed="10"/>
      </font>
    </dxf>
    <dxf>
      <font>
        <b/>
        <i val="0"/>
        <condense val="0"/>
        <extend val="0"/>
        <color indexed="13"/>
      </font>
    </dxf>
    <dxf>
      <font>
        <b/>
        <i val="0"/>
        <condense val="0"/>
        <extend val="0"/>
        <color indexed="11"/>
      </font>
    </dxf>
    <dxf>
      <font>
        <condense val="0"/>
        <extend val="0"/>
        <color indexed="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Overview on test results</a:t>
            </a:r>
          </a:p>
        </c:rich>
      </c:tx>
      <c:layout>
        <c:manualLayout>
          <c:xMode val="edge"/>
          <c:yMode val="edge"/>
          <c:x val="0.37565544464422262"/>
          <c:y val="3.036873291070635E-2"/>
        </c:manualLayout>
      </c:layout>
      <c:overlay val="0"/>
      <c:spPr>
        <a:noFill/>
        <a:ln w="25400">
          <a:noFill/>
        </a:ln>
      </c:spPr>
    </c:title>
    <c:autoTitleDeleted val="0"/>
    <c:view3D>
      <c:rotX val="15"/>
      <c:hPercent val="40"/>
      <c:rotY val="20"/>
      <c:depthPercent val="100"/>
      <c:rAngAx val="1"/>
    </c:view3D>
    <c:floor>
      <c:thickness val="0"/>
      <c:spPr>
        <a:solidFill>
          <a:srgbClr val="C0C0C0"/>
        </a:solidFill>
        <a:ln w="3175">
          <a:solidFill>
            <a:srgbClr val="000000"/>
          </a:solidFill>
          <a:prstDash val="solid"/>
        </a:ln>
      </c:spPr>
    </c:floor>
    <c:sideWall>
      <c:thickness val="0"/>
      <c:spPr>
        <a:solidFill>
          <a:srgbClr val="FFFFFF"/>
        </a:solidFill>
        <a:ln w="12700">
          <a:solidFill>
            <a:srgbClr val="808080"/>
          </a:solidFill>
          <a:prstDash val="solid"/>
        </a:ln>
      </c:spPr>
    </c:sideWall>
    <c:backWall>
      <c:thickness val="0"/>
      <c:spPr>
        <a:solidFill>
          <a:srgbClr val="FFFFFF"/>
        </a:solidFill>
        <a:ln w="12700">
          <a:solidFill>
            <a:srgbClr val="808080"/>
          </a:solidFill>
          <a:prstDash val="solid"/>
        </a:ln>
      </c:spPr>
    </c:backWall>
    <c:plotArea>
      <c:layout>
        <c:manualLayout>
          <c:layoutTarget val="inner"/>
          <c:xMode val="edge"/>
          <c:yMode val="edge"/>
          <c:x val="7.4157266744226569E-2"/>
          <c:y val="0.19041988172531066"/>
          <c:w val="0.9101123595505618"/>
          <c:h val="0.6268980477223427"/>
        </c:manualLayout>
      </c:layout>
      <c:bar3DChart>
        <c:barDir val="col"/>
        <c:grouping val="stacked"/>
        <c:varyColors val="0"/>
        <c:ser>
          <c:idx val="1"/>
          <c:order val="0"/>
          <c:tx>
            <c:strRef>
              <c:f>Summary!$A$5</c:f>
              <c:strCache>
                <c:ptCount val="1"/>
                <c:pt idx="0">
                  <c:v>OK</c:v>
                </c:pt>
              </c:strCache>
            </c:strRef>
          </c:tx>
          <c:spPr>
            <a:solidFill>
              <a:srgbClr val="00FF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Summary!$B$5:$U$5</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0-605C-4358-B19F-49C296E52A74}"/>
            </c:ext>
          </c:extLst>
        </c:ser>
        <c:ser>
          <c:idx val="2"/>
          <c:order val="1"/>
          <c:tx>
            <c:strRef>
              <c:f>Summary!$A$6</c:f>
              <c:strCache>
                <c:ptCount val="1"/>
                <c:pt idx="0">
                  <c:v>Warning</c:v>
                </c:pt>
              </c:strCache>
            </c:strRef>
          </c:tx>
          <c:spPr>
            <a:solidFill>
              <a:srgbClr val="FFFF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Summary!$B$6:$U$6</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1-605C-4358-B19F-49C296E52A74}"/>
            </c:ext>
          </c:extLst>
        </c:ser>
        <c:ser>
          <c:idx val="3"/>
          <c:order val="2"/>
          <c:tx>
            <c:strRef>
              <c:f>Summary!$A$7</c:f>
              <c:strCache>
                <c:ptCount val="1"/>
                <c:pt idx="0">
                  <c:v>Error</c:v>
                </c:pt>
              </c:strCache>
            </c:strRef>
          </c:tx>
          <c:spPr>
            <a:solidFill>
              <a:srgbClr val="FF00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Summary!$B$7:$U$7</c:f>
              <c:numCache>
                <c:formatCode>0</c:formatCode>
                <c:ptCount val="20"/>
                <c:pt idx="0" formatCode="General">
                  <c:v>0</c:v>
                </c:pt>
                <c:pt idx="1">
                  <c:v>0</c:v>
                </c:pt>
                <c:pt idx="2">
                  <c:v>0</c:v>
                </c:pt>
                <c:pt idx="3">
                  <c:v>0</c:v>
                </c:pt>
                <c:pt idx="4">
                  <c:v>0</c:v>
                </c:pt>
                <c:pt idx="5">
                  <c:v>0</c:v>
                </c:pt>
              </c:numCache>
            </c:numRef>
          </c:val>
          <c:extLst>
            <c:ext xmlns:c16="http://schemas.microsoft.com/office/drawing/2014/chart" uri="{C3380CC4-5D6E-409C-BE32-E72D297353CC}">
              <c16:uniqueId val="{00000002-605C-4358-B19F-49C296E52A74}"/>
            </c:ext>
          </c:extLst>
        </c:ser>
        <c:ser>
          <c:idx val="4"/>
          <c:order val="3"/>
          <c:tx>
            <c:strRef>
              <c:f>Summary!$A$8</c:f>
              <c:strCache>
                <c:ptCount val="1"/>
                <c:pt idx="0">
                  <c:v>Not tested</c:v>
                </c:pt>
              </c:strCache>
            </c:strRef>
          </c:tx>
          <c:spPr>
            <a:solidFill>
              <a:srgbClr val="C0C0C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Summary!$B$8:$U$8</c:f>
              <c:numCache>
                <c:formatCode>General</c:formatCode>
                <c:ptCount val="20"/>
                <c:pt idx="0">
                  <c:v>20</c:v>
                </c:pt>
                <c:pt idx="1">
                  <c:v>0</c:v>
                </c:pt>
                <c:pt idx="2">
                  <c:v>0</c:v>
                </c:pt>
                <c:pt idx="3">
                  <c:v>0</c:v>
                </c:pt>
                <c:pt idx="4">
                  <c:v>0</c:v>
                </c:pt>
                <c:pt idx="5">
                  <c:v>0</c:v>
                </c:pt>
              </c:numCache>
            </c:numRef>
          </c:val>
          <c:extLst>
            <c:ext xmlns:c16="http://schemas.microsoft.com/office/drawing/2014/chart" uri="{C3380CC4-5D6E-409C-BE32-E72D297353CC}">
              <c16:uniqueId val="{00000003-605C-4358-B19F-49C296E52A74}"/>
            </c:ext>
          </c:extLst>
        </c:ser>
        <c:dLbls>
          <c:showLegendKey val="0"/>
          <c:showVal val="0"/>
          <c:showCatName val="0"/>
          <c:showSerName val="0"/>
          <c:showPercent val="0"/>
          <c:showBubbleSize val="0"/>
        </c:dLbls>
        <c:gapWidth val="150"/>
        <c:shape val="box"/>
        <c:axId val="185548776"/>
        <c:axId val="186757584"/>
        <c:axId val="0"/>
      </c:bar3DChart>
      <c:catAx>
        <c:axId val="18554877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TestCycle</a:t>
                </a:r>
              </a:p>
            </c:rich>
          </c:tx>
          <c:layout>
            <c:manualLayout>
              <c:xMode val="edge"/>
              <c:yMode val="edge"/>
              <c:x val="0.48202250309262529"/>
              <c:y val="0.84815609185742746"/>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757584"/>
        <c:crosses val="autoZero"/>
        <c:auto val="1"/>
        <c:lblAlgn val="ctr"/>
        <c:lblOffset val="100"/>
        <c:tickLblSkip val="1"/>
        <c:tickMarkSkip val="1"/>
        <c:noMultiLvlLbl val="0"/>
      </c:catAx>
      <c:valAx>
        <c:axId val="186757584"/>
        <c:scaling>
          <c:orientation val="minMax"/>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Number of tests</a:t>
                </a:r>
              </a:p>
            </c:rich>
          </c:tx>
          <c:layout>
            <c:manualLayout>
              <c:xMode val="edge"/>
              <c:yMode val="edge"/>
              <c:x val="7.7528143627715831E-2"/>
              <c:y val="0.3861171297903307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5548776"/>
        <c:crosses val="autoZero"/>
        <c:crossBetween val="between"/>
      </c:valAx>
      <c:spPr>
        <a:noFill/>
        <a:ln w="25400">
          <a:noFill/>
        </a:ln>
      </c:spPr>
    </c:plotArea>
    <c:legend>
      <c:legendPos val="b"/>
      <c:layout>
        <c:manualLayout>
          <c:xMode val="edge"/>
          <c:yMode val="edge"/>
          <c:x val="0.13146069339757727"/>
          <c:y val="0.93275480936112676"/>
          <c:w val="0.81235951805236939"/>
          <c:h val="5.2060824183519983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25897920604915E-3"/>
          <c:y val="9.0909897992702354E-2"/>
          <c:w val="0.99149338374291118"/>
          <c:h val="0.81818908193432116"/>
        </c:manualLayout>
      </c:layout>
      <c:barChart>
        <c:barDir val="bar"/>
        <c:grouping val="percentStacked"/>
        <c:varyColors val="0"/>
        <c:ser>
          <c:idx val="0"/>
          <c:order val="0"/>
          <c:spPr>
            <a:solidFill>
              <a:srgbClr val="00FF00"/>
            </a:solidFill>
            <a:ln w="12700">
              <a:solidFill>
                <a:srgbClr val="000000"/>
              </a:solidFill>
              <a:prstDash val="solid"/>
            </a:ln>
          </c:spPr>
          <c:invertIfNegative val="0"/>
          <c:val>
            <c:numRef>
              <c:f>TestCycle1!$G$2</c:f>
              <c:numCache>
                <c:formatCode>General</c:formatCode>
                <c:ptCount val="1"/>
                <c:pt idx="0">
                  <c:v>11</c:v>
                </c:pt>
              </c:numCache>
            </c:numRef>
          </c:val>
          <c:extLst>
            <c:ext xmlns:c16="http://schemas.microsoft.com/office/drawing/2014/chart" uri="{C3380CC4-5D6E-409C-BE32-E72D297353CC}">
              <c16:uniqueId val="{00000000-3DB5-4A08-BCA6-BE97514A63C5}"/>
            </c:ext>
          </c:extLst>
        </c:ser>
        <c:ser>
          <c:idx val="1"/>
          <c:order val="1"/>
          <c:spPr>
            <a:solidFill>
              <a:srgbClr val="FFFF00"/>
            </a:solidFill>
            <a:ln w="12700">
              <a:solidFill>
                <a:srgbClr val="000000"/>
              </a:solidFill>
              <a:prstDash val="solid"/>
            </a:ln>
          </c:spPr>
          <c:invertIfNegative val="0"/>
          <c:val>
            <c:numRef>
              <c:f>TestCycle1!$G$3</c:f>
              <c:numCache>
                <c:formatCode>General</c:formatCode>
                <c:ptCount val="1"/>
                <c:pt idx="0">
                  <c:v>0</c:v>
                </c:pt>
              </c:numCache>
            </c:numRef>
          </c:val>
          <c:extLst>
            <c:ext xmlns:c16="http://schemas.microsoft.com/office/drawing/2014/chart" uri="{C3380CC4-5D6E-409C-BE32-E72D297353CC}">
              <c16:uniqueId val="{00000001-3DB5-4A08-BCA6-BE97514A63C5}"/>
            </c:ext>
          </c:extLst>
        </c:ser>
        <c:ser>
          <c:idx val="2"/>
          <c:order val="2"/>
          <c:spPr>
            <a:solidFill>
              <a:srgbClr val="FF0000"/>
            </a:solidFill>
            <a:ln w="12700">
              <a:solidFill>
                <a:srgbClr val="000000"/>
              </a:solidFill>
              <a:prstDash val="solid"/>
            </a:ln>
          </c:spPr>
          <c:invertIfNegative val="0"/>
          <c:val>
            <c:numRef>
              <c:f>TestCycle1!$G$4</c:f>
              <c:numCache>
                <c:formatCode>General</c:formatCode>
                <c:ptCount val="1"/>
                <c:pt idx="0">
                  <c:v>0</c:v>
                </c:pt>
              </c:numCache>
            </c:numRef>
          </c:val>
          <c:extLst>
            <c:ext xmlns:c16="http://schemas.microsoft.com/office/drawing/2014/chart" uri="{C3380CC4-5D6E-409C-BE32-E72D297353CC}">
              <c16:uniqueId val="{00000002-3DB5-4A08-BCA6-BE97514A63C5}"/>
            </c:ext>
          </c:extLst>
        </c:ser>
        <c:ser>
          <c:idx val="3"/>
          <c:order val="3"/>
          <c:spPr>
            <a:solidFill>
              <a:srgbClr val="969696"/>
            </a:solidFill>
            <a:ln w="12700">
              <a:solidFill>
                <a:srgbClr val="000000"/>
              </a:solidFill>
              <a:prstDash val="solid"/>
            </a:ln>
          </c:spPr>
          <c:invertIfNegative val="0"/>
          <c:val>
            <c:numRef>
              <c:f>TestCycle1!$G$6</c:f>
              <c:numCache>
                <c:formatCode>General</c:formatCode>
                <c:ptCount val="1"/>
                <c:pt idx="0">
                  <c:v>20</c:v>
                </c:pt>
              </c:numCache>
            </c:numRef>
          </c:val>
          <c:extLst>
            <c:ext xmlns:c16="http://schemas.microsoft.com/office/drawing/2014/chart" uri="{C3380CC4-5D6E-409C-BE32-E72D297353CC}">
              <c16:uniqueId val="{00000003-3DB5-4A08-BCA6-BE97514A63C5}"/>
            </c:ext>
          </c:extLst>
        </c:ser>
        <c:dLbls>
          <c:showLegendKey val="0"/>
          <c:showVal val="0"/>
          <c:showCatName val="0"/>
          <c:showSerName val="0"/>
          <c:showPercent val="0"/>
          <c:showBubbleSize val="0"/>
        </c:dLbls>
        <c:gapWidth val="30"/>
        <c:overlap val="100"/>
        <c:axId val="186261272"/>
        <c:axId val="187019392"/>
      </c:barChart>
      <c:catAx>
        <c:axId val="186261272"/>
        <c:scaling>
          <c:orientation val="minMax"/>
        </c:scaling>
        <c:delete val="1"/>
        <c:axPos val="l"/>
        <c:majorTickMark val="out"/>
        <c:minorTickMark val="none"/>
        <c:tickLblPos val="nextTo"/>
        <c:crossAx val="187019392"/>
        <c:crosses val="autoZero"/>
        <c:auto val="1"/>
        <c:lblAlgn val="ctr"/>
        <c:lblOffset val="100"/>
        <c:noMultiLvlLbl val="0"/>
      </c:catAx>
      <c:valAx>
        <c:axId val="187019392"/>
        <c:scaling>
          <c:orientation val="minMax"/>
        </c:scaling>
        <c:delete val="1"/>
        <c:axPos val="b"/>
        <c:numFmt formatCode="0%" sourceLinked="1"/>
        <c:majorTickMark val="out"/>
        <c:minorTickMark val="none"/>
        <c:tickLblPos val="nextTo"/>
        <c:crossAx val="186261272"/>
        <c:crosses val="autoZero"/>
        <c:crossBetween val="between"/>
      </c:valAx>
      <c:spPr>
        <a:noFill/>
        <a:ln w="12700">
          <a:solidFill>
            <a:srgbClr val="C0C0C0"/>
          </a:solidFill>
          <a:prstDash val="solid"/>
        </a:ln>
      </c:spPr>
    </c:plotArea>
    <c:plotVisOnly val="1"/>
    <c:dispBlanksAs val="gap"/>
    <c:showDLblsOverMax val="0"/>
  </c:chart>
  <c:spPr>
    <a:noFill/>
    <a:ln w="9525">
      <a:noFill/>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9525</xdr:colOff>
      <xdr:row>8</xdr:row>
      <xdr:rowOff>66675</xdr:rowOff>
    </xdr:from>
    <xdr:to>
      <xdr:col>21</xdr:col>
      <xdr:colOff>9525</xdr:colOff>
      <xdr:row>33</xdr:row>
      <xdr:rowOff>123825</xdr:rowOff>
    </xdr:to>
    <xdr:graphicFrame macro="">
      <xdr:nvGraphicFramePr>
        <xdr:cNvPr id="221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5</xdr:row>
      <xdr:rowOff>209550</xdr:rowOff>
    </xdr:from>
    <xdr:to>
      <xdr:col>10</xdr:col>
      <xdr:colOff>0</xdr:colOff>
      <xdr:row>9</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105834</xdr:colOff>
      <xdr:row>1</xdr:row>
      <xdr:rowOff>23283</xdr:rowOff>
    </xdr:from>
    <xdr:to>
      <xdr:col>4</xdr:col>
      <xdr:colOff>1481667</xdr:colOff>
      <xdr:row>3</xdr:row>
      <xdr:rowOff>116417</xdr:rowOff>
    </xdr:to>
    <xdr:sp macro="[0]!CreateNewWorksheet" textlink="">
      <xdr:nvSpPr>
        <xdr:cNvPr id="3" name="Rounded Rectangle 1"/>
        <xdr:cNvSpPr/>
      </xdr:nvSpPr>
      <xdr:spPr bwMode="auto">
        <a:xfrm>
          <a:off x="5849409" y="261408"/>
          <a:ext cx="1375833" cy="550334"/>
        </a:xfrm>
        <a:prstGeom prst="round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dist="35921" dir="2700000" algn="ctr" rotWithShape="0">
            <a:srgbClr val="808080"/>
          </a:outerShdw>
        </a:effectLst>
        <a:extLst/>
      </xdr:spPr>
      <xdr:txBody>
        <a:bodyPr vertOverflow="clip" horzOverflow="clip" wrap="square" lIns="18288" tIns="0" rIns="0" bIns="0" rtlCol="0" anchor="ctr" anchorCtr="0" upright="1"/>
        <a:lstStyle/>
        <a:p>
          <a:pPr algn="ctr"/>
          <a:r>
            <a:rPr lang="de-DE" sz="1400"/>
            <a:t>Create New</a:t>
          </a:r>
          <a:r>
            <a:rPr lang="de-DE" sz="1400" baseline="0"/>
            <a:t> Worksheet</a:t>
          </a:r>
          <a:endParaRPr lang="de-DE" sz="1400"/>
        </a:p>
      </xdr:txBody>
    </xdr:sp>
    <xdr:clientData/>
  </xdr:twoCellAnchor>
</xdr:wsDr>
</file>

<file path=xl/theme/theme1.xml><?xml version="1.0" encoding="utf-8"?>
<a:theme xmlns:a="http://schemas.openxmlformats.org/drawingml/2006/main" name="ETAS_PEP_std">
  <a:themeElements>
    <a:clrScheme name="ETAS_PEP">
      <a:dk1>
        <a:sysClr val="windowText" lastClr="000000"/>
      </a:dk1>
      <a:lt1>
        <a:sysClr val="window" lastClr="FFFFFF"/>
      </a:lt1>
      <a:dk2>
        <a:srgbClr val="1F497D"/>
      </a:dk2>
      <a:lt2>
        <a:srgbClr val="EEECE1"/>
      </a:lt2>
      <a:accent1>
        <a:srgbClr val="1E5394"/>
      </a:accent1>
      <a:accent2>
        <a:srgbClr val="6287BB"/>
      </a:accent2>
      <a:accent3>
        <a:srgbClr val="92A6B9"/>
      </a:accent3>
      <a:accent4>
        <a:srgbClr val="DEE3EA"/>
      </a:accent4>
      <a:accent5>
        <a:srgbClr val="BD0551"/>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1:H27"/>
  <sheetViews>
    <sheetView zoomScaleNormal="100" workbookViewId="0">
      <selection activeCell="D7" sqref="D7:E7"/>
    </sheetView>
  </sheetViews>
  <sheetFormatPr defaultColWidth="9.90625" defaultRowHeight="12.5" x14ac:dyDescent="0.25"/>
  <cols>
    <col min="1" max="1" width="3.36328125" style="71" customWidth="1"/>
    <col min="2" max="2" width="8.36328125" style="71" customWidth="1"/>
    <col min="3" max="3" width="16.90625" style="71" customWidth="1"/>
    <col min="4" max="4" width="14.6328125" style="71" customWidth="1"/>
    <col min="5" max="5" width="53.08984375" style="71" customWidth="1"/>
    <col min="6" max="6" width="3.6328125" style="71" customWidth="1"/>
    <col min="7" max="16384" width="9.90625" style="71"/>
  </cols>
  <sheetData>
    <row r="1" spans="2:8" ht="45" customHeight="1" x14ac:dyDescent="0.25"/>
    <row r="2" spans="2:8" s="73" customFormat="1" ht="24.5" x14ac:dyDescent="0.25">
      <c r="B2" s="130" t="e">
        <f>IF(D6&lt;&gt;"",D6,IF(#REF!&lt;&gt;"",#REF!,""))</f>
        <v>#REF!</v>
      </c>
      <c r="C2" s="130"/>
      <c r="D2" s="130"/>
      <c r="E2" s="130"/>
      <c r="F2" s="71"/>
      <c r="G2" s="72"/>
    </row>
    <row r="3" spans="2:8" ht="30" customHeight="1" x14ac:dyDescent="0.25">
      <c r="B3" s="131" t="s">
        <v>72</v>
      </c>
      <c r="C3" s="131"/>
      <c r="D3" s="131"/>
      <c r="E3" s="131"/>
      <c r="F3" s="74"/>
    </row>
    <row r="4" spans="2:8" ht="30" hidden="1" customHeight="1" x14ac:dyDescent="0.25">
      <c r="B4" s="75" t="e">
        <f>#REF!</f>
        <v>#REF!</v>
      </c>
      <c r="C4" s="75"/>
      <c r="D4" s="75"/>
      <c r="E4" s="75"/>
    </row>
    <row r="5" spans="2:8" ht="18" customHeight="1" x14ac:dyDescent="0.25">
      <c r="B5" s="132" t="s">
        <v>25</v>
      </c>
      <c r="C5" s="132"/>
      <c r="D5" s="132"/>
      <c r="E5" s="132"/>
    </row>
    <row r="6" spans="2:8" x14ac:dyDescent="0.25">
      <c r="B6" s="126" t="s">
        <v>26</v>
      </c>
      <c r="C6" s="127"/>
      <c r="D6" s="128"/>
      <c r="E6" s="129"/>
      <c r="G6" s="76"/>
    </row>
    <row r="7" spans="2:8" x14ac:dyDescent="0.25">
      <c r="B7" s="126" t="s">
        <v>51</v>
      </c>
      <c r="C7" s="127"/>
      <c r="D7" s="128" t="s">
        <v>58</v>
      </c>
      <c r="E7" s="129"/>
      <c r="G7" s="76"/>
    </row>
    <row r="8" spans="2:8" x14ac:dyDescent="0.25">
      <c r="B8" s="126" t="s">
        <v>27</v>
      </c>
      <c r="C8" s="127"/>
      <c r="D8" s="129" t="s">
        <v>28</v>
      </c>
      <c r="E8" s="129"/>
    </row>
    <row r="9" spans="2:8" x14ac:dyDescent="0.25">
      <c r="B9" s="77"/>
      <c r="C9" s="77"/>
      <c r="D9" s="77"/>
      <c r="E9" s="77"/>
    </row>
    <row r="10" spans="2:8" x14ac:dyDescent="0.25">
      <c r="B10" s="78"/>
    </row>
    <row r="11" spans="2:8" x14ac:dyDescent="0.25">
      <c r="B11" s="85" t="s">
        <v>29</v>
      </c>
      <c r="C11" s="85" t="s">
        <v>5</v>
      </c>
      <c r="D11" s="85" t="s">
        <v>6</v>
      </c>
      <c r="E11" s="85" t="s">
        <v>30</v>
      </c>
      <c r="H11" s="79"/>
    </row>
    <row r="12" spans="2:8" s="83" customFormat="1" x14ac:dyDescent="0.25">
      <c r="B12" s="80" t="s">
        <v>31</v>
      </c>
      <c r="C12" s="80" t="s">
        <v>57</v>
      </c>
      <c r="D12" s="116">
        <v>41884</v>
      </c>
      <c r="E12" s="81" t="s">
        <v>32</v>
      </c>
      <c r="F12" s="82"/>
      <c r="G12" s="82"/>
    </row>
    <row r="13" spans="2:8" s="83" customFormat="1" x14ac:dyDescent="0.25">
      <c r="B13" s="80"/>
      <c r="C13" s="80"/>
      <c r="D13" s="80"/>
      <c r="E13" s="81"/>
      <c r="F13" s="82"/>
      <c r="G13" s="82"/>
    </row>
    <row r="14" spans="2:8" s="83" customFormat="1" x14ac:dyDescent="0.25">
      <c r="B14" s="80"/>
      <c r="C14" s="80"/>
      <c r="D14" s="80"/>
      <c r="E14" s="81"/>
      <c r="F14" s="82"/>
      <c r="G14" s="82"/>
    </row>
    <row r="15" spans="2:8" s="83" customFormat="1" x14ac:dyDescent="0.25">
      <c r="B15" s="80"/>
      <c r="C15" s="80"/>
      <c r="D15" s="80"/>
      <c r="E15" s="81"/>
      <c r="F15" s="82"/>
      <c r="G15" s="82"/>
    </row>
    <row r="16" spans="2:8" s="83" customFormat="1" x14ac:dyDescent="0.25">
      <c r="B16" s="80"/>
      <c r="C16" s="80"/>
      <c r="D16" s="80"/>
      <c r="E16" s="81"/>
      <c r="F16" s="82"/>
      <c r="G16" s="82"/>
    </row>
    <row r="17" spans="2:7" s="83" customFormat="1" x14ac:dyDescent="0.25">
      <c r="B17" s="80"/>
      <c r="C17" s="80"/>
      <c r="D17" s="80"/>
      <c r="E17" s="81"/>
      <c r="F17" s="82"/>
      <c r="G17" s="82"/>
    </row>
    <row r="18" spans="2:7" s="83" customFormat="1" x14ac:dyDescent="0.25">
      <c r="B18" s="80"/>
      <c r="C18" s="80"/>
      <c r="D18" s="80"/>
      <c r="E18" s="81"/>
      <c r="F18" s="82"/>
      <c r="G18" s="82"/>
    </row>
    <row r="19" spans="2:7" s="83" customFormat="1" x14ac:dyDescent="0.25">
      <c r="B19" s="80"/>
      <c r="C19" s="80"/>
      <c r="D19" s="80"/>
      <c r="E19" s="81"/>
      <c r="F19" s="82"/>
      <c r="G19" s="82"/>
    </row>
    <row r="20" spans="2:7" s="83" customFormat="1" x14ac:dyDescent="0.25">
      <c r="B20" s="80"/>
      <c r="C20" s="80"/>
      <c r="D20" s="80"/>
      <c r="E20" s="81"/>
      <c r="F20" s="82"/>
      <c r="G20" s="82"/>
    </row>
    <row r="21" spans="2:7" s="83" customFormat="1" x14ac:dyDescent="0.25">
      <c r="B21" s="80"/>
      <c r="C21" s="80"/>
      <c r="D21" s="80"/>
      <c r="E21" s="81"/>
      <c r="F21" s="82"/>
      <c r="G21" s="82"/>
    </row>
    <row r="22" spans="2:7" s="83" customFormat="1" x14ac:dyDescent="0.25">
      <c r="B22" s="80"/>
      <c r="C22" s="80"/>
      <c r="D22" s="80"/>
      <c r="E22" s="81"/>
      <c r="F22" s="82"/>
      <c r="G22" s="82"/>
    </row>
    <row r="23" spans="2:7" s="83" customFormat="1" x14ac:dyDescent="0.25">
      <c r="B23" s="80"/>
      <c r="C23" s="80"/>
      <c r="D23" s="80"/>
      <c r="E23" s="81"/>
      <c r="F23" s="82"/>
      <c r="G23" s="82"/>
    </row>
    <row r="24" spans="2:7" s="83" customFormat="1" x14ac:dyDescent="0.25">
      <c r="B24" s="80"/>
      <c r="C24" s="80"/>
      <c r="D24" s="80"/>
      <c r="E24" s="81"/>
      <c r="F24" s="82"/>
      <c r="G24" s="82"/>
    </row>
    <row r="25" spans="2:7" s="83" customFormat="1" x14ac:dyDescent="0.25">
      <c r="B25" s="80"/>
      <c r="C25" s="80"/>
      <c r="D25" s="80"/>
      <c r="E25" s="81"/>
      <c r="F25" s="82"/>
      <c r="G25" s="82"/>
    </row>
    <row r="26" spans="2:7" s="83" customFormat="1" x14ac:dyDescent="0.25">
      <c r="B26" s="80"/>
      <c r="C26" s="80"/>
      <c r="D26" s="80"/>
      <c r="E26" s="81"/>
      <c r="F26" s="82"/>
      <c r="G26" s="82"/>
    </row>
    <row r="27" spans="2:7" x14ac:dyDescent="0.25">
      <c r="B27" s="80"/>
      <c r="C27" s="80"/>
      <c r="D27" s="80"/>
      <c r="E27" s="81"/>
    </row>
  </sheetData>
  <mergeCells count="9">
    <mergeCell ref="B7:C7"/>
    <mergeCell ref="D7:E7"/>
    <mergeCell ref="B8:C8"/>
    <mergeCell ref="D8:E8"/>
    <mergeCell ref="B2:E2"/>
    <mergeCell ref="B3:E3"/>
    <mergeCell ref="B5:E5"/>
    <mergeCell ref="B6:C6"/>
    <mergeCell ref="D6:E6"/>
  </mergeCells>
  <dataValidations count="2">
    <dataValidation type="list" allowBlank="1" showInputMessage="1" showErrorMessage="1" sqref="D8:E8">
      <formula1>"Draft,Released"</formula1>
    </dataValidation>
    <dataValidation allowBlank="1" showErrorMessage="1" promptTitle="Confidentiality" prompt="Internal _x000a_= Public for all ETAS_x000a__x000a_Confidential_x000a_= _x000a__x000a_Stricly Confidential_x000a_-" sqref="D9:E9"/>
  </dataValidations>
  <pageMargins left="0.78740157480314965" right="0.78740157480314965" top="1.1811023622047245" bottom="0.94488188976377963" header="0.19685039370078741" footer="0.39370078740157483"/>
  <pageSetup paperSize="9" orientation="landscape" horizontalDpi="4294967294" r:id="rId1"/>
  <headerFooter alignWithMargins="0">
    <oddHeader>&amp;L&amp;"Tahoma,Fett"
Manual Test&amp;R&amp;G</oddHeader>
    <oddFooter>&amp;L&amp;8If printed, this document is an uncontrolled copy.
&amp;C&amp;8Confidential
&amp;R&amp;8 Page &amp;P of &amp;N
Template: 00TE00134 V03 - released
File: &amp;F / Sheet: &amp;A</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40"/>
  <sheetViews>
    <sheetView view="pageLayout" zoomScale="85" zoomScaleNormal="100" zoomScalePageLayoutView="85" workbookViewId="0">
      <selection activeCell="A22" sqref="A22"/>
    </sheetView>
  </sheetViews>
  <sheetFormatPr defaultColWidth="11.453125" defaultRowHeight="12.5" x14ac:dyDescent="0.25"/>
  <cols>
    <col min="1" max="1" width="139.90625" customWidth="1"/>
  </cols>
  <sheetData>
    <row r="1" spans="1:1" ht="13" x14ac:dyDescent="0.25">
      <c r="A1" s="96" t="s">
        <v>36</v>
      </c>
    </row>
    <row r="2" spans="1:1" x14ac:dyDescent="0.25">
      <c r="A2" s="24"/>
    </row>
    <row r="3" spans="1:1" ht="39" x14ac:dyDescent="0.25">
      <c r="A3" s="96" t="s">
        <v>50</v>
      </c>
    </row>
    <row r="4" spans="1:1" ht="13" x14ac:dyDescent="0.25">
      <c r="A4" s="96"/>
    </row>
    <row r="5" spans="1:1" ht="13" x14ac:dyDescent="0.25">
      <c r="A5" s="96" t="s">
        <v>33</v>
      </c>
    </row>
    <row r="6" spans="1:1" ht="13" x14ac:dyDescent="0.25">
      <c r="A6" s="96"/>
    </row>
    <row r="7" spans="1:1" ht="50.5" x14ac:dyDescent="0.25">
      <c r="A7" s="43" t="s">
        <v>52</v>
      </c>
    </row>
    <row r="8" spans="1:1" ht="13" x14ac:dyDescent="0.25">
      <c r="A8" s="43"/>
    </row>
    <row r="9" spans="1:1" ht="38" x14ac:dyDescent="0.25">
      <c r="A9" s="43" t="s">
        <v>24</v>
      </c>
    </row>
    <row r="10" spans="1:1" ht="50.5" x14ac:dyDescent="0.25">
      <c r="A10" s="43" t="s">
        <v>37</v>
      </c>
    </row>
    <row r="11" spans="1:1" x14ac:dyDescent="0.25">
      <c r="A11" s="24"/>
    </row>
    <row r="12" spans="1:1" ht="38.5" x14ac:dyDescent="0.25">
      <c r="A12" s="43" t="s">
        <v>44</v>
      </c>
    </row>
    <row r="13" spans="1:1" x14ac:dyDescent="0.25">
      <c r="A13" s="24"/>
    </row>
    <row r="14" spans="1:1" ht="63" x14ac:dyDescent="0.25">
      <c r="A14" s="43" t="s">
        <v>45</v>
      </c>
    </row>
    <row r="15" spans="1:1" x14ac:dyDescent="0.25">
      <c r="A15" s="24"/>
    </row>
    <row r="16" spans="1:1" ht="113" x14ac:dyDescent="0.25">
      <c r="A16" s="43" t="s">
        <v>46</v>
      </c>
    </row>
    <row r="17" spans="1:1" ht="13" x14ac:dyDescent="0.25">
      <c r="A17" s="43"/>
    </row>
    <row r="18" spans="1:1" ht="54.75" customHeight="1" x14ac:dyDescent="0.25">
      <c r="A18" s="84" t="s">
        <v>47</v>
      </c>
    </row>
    <row r="19" spans="1:1" x14ac:dyDescent="0.25">
      <c r="A19" s="24"/>
    </row>
    <row r="20" spans="1:1" ht="63" x14ac:dyDescent="0.25">
      <c r="A20" s="43" t="s">
        <v>56</v>
      </c>
    </row>
    <row r="21" spans="1:1" x14ac:dyDescent="0.25">
      <c r="A21" s="24"/>
    </row>
    <row r="22" spans="1:1" ht="51" x14ac:dyDescent="0.25">
      <c r="A22" s="43" t="s">
        <v>54</v>
      </c>
    </row>
    <row r="23" spans="1:1" x14ac:dyDescent="0.25">
      <c r="A23" s="24"/>
    </row>
    <row r="24" spans="1:1" ht="39" customHeight="1" x14ac:dyDescent="0.25">
      <c r="A24" s="43" t="s">
        <v>34</v>
      </c>
    </row>
    <row r="25" spans="1:1" ht="13" x14ac:dyDescent="0.25">
      <c r="A25" s="43"/>
    </row>
    <row r="26" spans="1:1" ht="38" x14ac:dyDescent="0.25">
      <c r="A26" s="43" t="s">
        <v>48</v>
      </c>
    </row>
    <row r="27" spans="1:1" x14ac:dyDescent="0.25">
      <c r="A27" s="24"/>
    </row>
    <row r="28" spans="1:1" ht="25.5" x14ac:dyDescent="0.25">
      <c r="A28" s="43" t="s">
        <v>35</v>
      </c>
    </row>
    <row r="29" spans="1:1" x14ac:dyDescent="0.25">
      <c r="A29" s="24"/>
    </row>
    <row r="30" spans="1:1" x14ac:dyDescent="0.25">
      <c r="A30" s="24"/>
    </row>
    <row r="31" spans="1:1" x14ac:dyDescent="0.25">
      <c r="A31" s="24"/>
    </row>
    <row r="32" spans="1:1" x14ac:dyDescent="0.25">
      <c r="A32" s="24"/>
    </row>
    <row r="33" spans="1:1" x14ac:dyDescent="0.25">
      <c r="A33" s="24"/>
    </row>
    <row r="34" spans="1:1" x14ac:dyDescent="0.25">
      <c r="A34" s="24"/>
    </row>
    <row r="35" spans="1:1" x14ac:dyDescent="0.25">
      <c r="A35" s="24"/>
    </row>
    <row r="36" spans="1:1" x14ac:dyDescent="0.25">
      <c r="A36" s="24"/>
    </row>
    <row r="37" spans="1:1" x14ac:dyDescent="0.25">
      <c r="A37" s="24"/>
    </row>
    <row r="38" spans="1:1" x14ac:dyDescent="0.25">
      <c r="A38" s="24"/>
    </row>
    <row r="39" spans="1:1" x14ac:dyDescent="0.25">
      <c r="A39" s="24"/>
    </row>
    <row r="40" spans="1:1" x14ac:dyDescent="0.25">
      <c r="A40" s="24"/>
    </row>
  </sheetData>
  <phoneticPr fontId="0" type="noConversion"/>
  <pageMargins left="0.78740157480314965" right="0.78740157480314965" top="1.1811023622047245" bottom="0.94488188976377963" header="0.19685039370078741" footer="0.39370078740157483"/>
  <pageSetup paperSize="9" scale="62" orientation="portrait"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E33"/>
  <sheetViews>
    <sheetView view="pageLayout" zoomScaleNormal="100" workbookViewId="0">
      <selection activeCell="B20" sqref="B20"/>
    </sheetView>
  </sheetViews>
  <sheetFormatPr defaultColWidth="11.453125" defaultRowHeight="12.5" x14ac:dyDescent="0.25"/>
  <cols>
    <col min="1" max="1" width="23" customWidth="1"/>
    <col min="2" max="5" width="30.6328125" customWidth="1"/>
  </cols>
  <sheetData>
    <row r="1" spans="1:5" ht="18" x14ac:dyDescent="0.25">
      <c r="A1" s="1">
        <f>'Meta Data'!$D$6</f>
        <v>0</v>
      </c>
      <c r="B1" s="2"/>
      <c r="C1" s="29"/>
      <c r="D1" s="29"/>
      <c r="E1" s="30"/>
    </row>
    <row r="2" spans="1:5" ht="18" x14ac:dyDescent="0.25">
      <c r="A2" s="4" t="str">
        <f>'Meta Data'!B3</f>
        <v>Manual Test Report ICO-Tests</v>
      </c>
      <c r="B2" s="5"/>
      <c r="C2" s="28"/>
      <c r="D2" s="28"/>
      <c r="E2" s="31"/>
    </row>
    <row r="3" spans="1:5" x14ac:dyDescent="0.25">
      <c r="A3" s="32"/>
      <c r="B3" s="28"/>
      <c r="C3" s="28"/>
      <c r="D3" s="28"/>
      <c r="E3" s="31"/>
    </row>
    <row r="4" spans="1:5" ht="18" thickBot="1" x14ac:dyDescent="0.4">
      <c r="A4" s="100" t="s">
        <v>38</v>
      </c>
      <c r="B4" s="92" t="s">
        <v>53</v>
      </c>
      <c r="C4" s="93"/>
      <c r="D4" s="93"/>
      <c r="E4" s="94"/>
    </row>
    <row r="5" spans="1:5" ht="13" thickBot="1" x14ac:dyDescent="0.3"/>
    <row r="6" spans="1:5" x14ac:dyDescent="0.25">
      <c r="A6" s="88"/>
      <c r="B6" s="86" t="s">
        <v>39</v>
      </c>
      <c r="C6" s="86" t="s">
        <v>40</v>
      </c>
      <c r="D6" s="86" t="s">
        <v>41</v>
      </c>
      <c r="E6" s="89" t="s">
        <v>43</v>
      </c>
    </row>
    <row r="7" spans="1:5" x14ac:dyDescent="0.25">
      <c r="A7" s="90" t="s">
        <v>42</v>
      </c>
      <c r="B7" s="87"/>
      <c r="C7" s="87"/>
      <c r="D7" s="87"/>
      <c r="E7" s="91"/>
    </row>
    <row r="8" spans="1:5" x14ac:dyDescent="0.25">
      <c r="A8" s="32" t="s">
        <v>13</v>
      </c>
      <c r="B8" s="117" t="s">
        <v>67</v>
      </c>
      <c r="C8" s="45" t="s">
        <v>67</v>
      </c>
      <c r="D8" s="45"/>
      <c r="E8" s="46"/>
    </row>
    <row r="9" spans="1:5" ht="13" thickBot="1" x14ac:dyDescent="0.3">
      <c r="A9" s="49" t="s">
        <v>14</v>
      </c>
      <c r="B9" s="118" t="s">
        <v>59</v>
      </c>
      <c r="C9" s="47"/>
      <c r="D9" s="47"/>
      <c r="E9" s="48"/>
    </row>
    <row r="10" spans="1:5" ht="13" thickBot="1" x14ac:dyDescent="0.3"/>
    <row r="11" spans="1:5" x14ac:dyDescent="0.25">
      <c r="A11" s="95" t="s">
        <v>55</v>
      </c>
      <c r="B11" s="86"/>
      <c r="C11" s="86"/>
      <c r="D11" s="86"/>
      <c r="E11" s="89"/>
    </row>
    <row r="12" spans="1:5" x14ac:dyDescent="0.25">
      <c r="A12" s="32" t="s">
        <v>12</v>
      </c>
      <c r="B12" s="117" t="s">
        <v>71</v>
      </c>
      <c r="C12" s="117" t="s">
        <v>73</v>
      </c>
      <c r="D12" s="45"/>
      <c r="E12" s="46"/>
    </row>
    <row r="13" spans="1:5" x14ac:dyDescent="0.25">
      <c r="A13" s="114" t="s">
        <v>69</v>
      </c>
      <c r="B13" s="117">
        <v>8</v>
      </c>
      <c r="C13" s="45">
        <v>4</v>
      </c>
      <c r="D13" s="45"/>
      <c r="E13" s="46"/>
    </row>
    <row r="14" spans="1:5" x14ac:dyDescent="0.25">
      <c r="A14" s="114" t="s">
        <v>68</v>
      </c>
      <c r="B14" s="45">
        <v>2.2999999999999998</v>
      </c>
      <c r="C14" s="45">
        <v>2.6</v>
      </c>
      <c r="D14" s="45"/>
      <c r="E14" s="46"/>
    </row>
    <row r="15" spans="1:5" ht="13" thickBot="1" x14ac:dyDescent="0.3">
      <c r="A15" s="115" t="s">
        <v>70</v>
      </c>
      <c r="B15" s="118">
        <v>8</v>
      </c>
      <c r="C15" s="47">
        <v>4</v>
      </c>
      <c r="D15" s="47"/>
      <c r="E15" s="48"/>
    </row>
    <row r="16" spans="1:5" ht="13" thickBot="1" x14ac:dyDescent="0.3">
      <c r="A16" s="50"/>
      <c r="B16" s="45"/>
      <c r="C16" s="45"/>
      <c r="D16" s="45"/>
      <c r="E16" s="45"/>
    </row>
    <row r="17" spans="1:5" x14ac:dyDescent="0.25">
      <c r="A17" s="95" t="s">
        <v>63</v>
      </c>
      <c r="B17" s="86"/>
      <c r="C17" s="86"/>
      <c r="D17" s="86"/>
      <c r="E17" s="89"/>
    </row>
    <row r="18" spans="1:5" x14ac:dyDescent="0.25">
      <c r="A18" s="114" t="s">
        <v>62</v>
      </c>
      <c r="B18" s="117" t="s">
        <v>64</v>
      </c>
      <c r="C18" s="117" t="s">
        <v>64</v>
      </c>
      <c r="D18" s="45"/>
      <c r="E18" s="46"/>
    </row>
    <row r="19" spans="1:5" x14ac:dyDescent="0.25">
      <c r="A19" s="114" t="s">
        <v>61</v>
      </c>
      <c r="B19" s="45"/>
      <c r="C19" s="45"/>
      <c r="D19" s="45"/>
      <c r="E19" s="46"/>
    </row>
    <row r="20" spans="1:5" x14ac:dyDescent="0.25">
      <c r="A20" s="114" t="s">
        <v>60</v>
      </c>
      <c r="B20" s="45"/>
      <c r="C20" s="45"/>
      <c r="D20" s="45"/>
      <c r="E20" s="46"/>
    </row>
    <row r="21" spans="1:5" x14ac:dyDescent="0.25">
      <c r="A21" s="114" t="s">
        <v>65</v>
      </c>
      <c r="B21" s="45"/>
      <c r="C21" s="45"/>
      <c r="D21" s="45"/>
      <c r="E21" s="46"/>
    </row>
    <row r="22" spans="1:5" x14ac:dyDescent="0.25">
      <c r="A22" s="114" t="s">
        <v>66</v>
      </c>
      <c r="B22" s="45"/>
      <c r="C22" s="45"/>
      <c r="D22" s="45"/>
      <c r="E22" s="46"/>
    </row>
    <row r="23" spans="1:5" x14ac:dyDescent="0.25">
      <c r="A23" s="114"/>
      <c r="B23" s="45"/>
      <c r="C23" s="45"/>
      <c r="D23" s="45"/>
      <c r="E23" s="46"/>
    </row>
    <row r="24" spans="1:5" x14ac:dyDescent="0.25">
      <c r="A24" s="114"/>
      <c r="B24" s="45"/>
      <c r="C24" s="45"/>
      <c r="D24" s="45"/>
      <c r="E24" s="46"/>
    </row>
    <row r="25" spans="1:5" x14ac:dyDescent="0.25">
      <c r="A25" s="114"/>
      <c r="B25" s="45"/>
      <c r="C25" s="45"/>
      <c r="D25" s="45"/>
      <c r="E25" s="46"/>
    </row>
    <row r="26" spans="1:5" x14ac:dyDescent="0.25">
      <c r="A26" s="114"/>
      <c r="B26" s="45"/>
      <c r="C26" s="45"/>
      <c r="D26" s="45"/>
      <c r="E26" s="46"/>
    </row>
    <row r="27" spans="1:5" x14ac:dyDescent="0.25">
      <c r="A27" s="114"/>
      <c r="B27" s="45"/>
      <c r="C27" s="45"/>
      <c r="D27" s="45"/>
      <c r="E27" s="46"/>
    </row>
    <row r="28" spans="1:5" x14ac:dyDescent="0.25">
      <c r="A28" s="114"/>
      <c r="B28" s="45"/>
      <c r="C28" s="45"/>
      <c r="D28" s="45"/>
      <c r="E28" s="46"/>
    </row>
    <row r="29" spans="1:5" x14ac:dyDescent="0.25">
      <c r="A29" s="114"/>
      <c r="B29" s="45"/>
      <c r="C29" s="45"/>
      <c r="D29" s="45"/>
      <c r="E29" s="46"/>
    </row>
    <row r="30" spans="1:5" x14ac:dyDescent="0.25">
      <c r="A30" s="114"/>
      <c r="B30" s="45"/>
      <c r="C30" s="45"/>
      <c r="D30" s="45"/>
      <c r="E30" s="46"/>
    </row>
    <row r="31" spans="1:5" x14ac:dyDescent="0.25">
      <c r="A31" s="114"/>
      <c r="B31" s="45"/>
      <c r="C31" s="45"/>
      <c r="D31" s="45"/>
      <c r="E31" s="46"/>
    </row>
    <row r="32" spans="1:5" ht="13" thickBot="1" x14ac:dyDescent="0.3">
      <c r="A32" s="49"/>
      <c r="B32" s="47"/>
      <c r="C32" s="47"/>
      <c r="D32" s="47"/>
      <c r="E32" s="48"/>
    </row>
    <row r="33" spans="1:5" x14ac:dyDescent="0.25">
      <c r="A33" s="114"/>
      <c r="B33" s="45"/>
      <c r="C33" s="45"/>
      <c r="D33" s="45"/>
      <c r="E33" s="46"/>
    </row>
  </sheetData>
  <phoneticPr fontId="0" type="noConversion"/>
  <pageMargins left="0.78740157480314965" right="0.78740157480314965" top="1.1811023622047245" bottom="0.94488188976377963" header="0.19685039370078741" footer="0.39370078740157483"/>
  <pageSetup paperSize="9" scale="90" orientation="landscape"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U36"/>
  <sheetViews>
    <sheetView zoomScaleNormal="100" workbookViewId="0">
      <selection activeCell="C8" sqref="C8"/>
    </sheetView>
  </sheetViews>
  <sheetFormatPr defaultColWidth="11.453125" defaultRowHeight="12.5" x14ac:dyDescent="0.25"/>
  <cols>
    <col min="1" max="1" width="12.6328125" customWidth="1"/>
    <col min="2" max="21" width="5.6328125" customWidth="1"/>
  </cols>
  <sheetData>
    <row r="1" spans="1:21" ht="18" x14ac:dyDescent="0.25">
      <c r="A1" s="1">
        <f>'Meta Data'!$D$6</f>
        <v>0</v>
      </c>
      <c r="B1" s="2"/>
      <c r="C1" s="29"/>
      <c r="D1" s="29"/>
      <c r="E1" s="29"/>
      <c r="F1" s="29"/>
      <c r="G1" s="29"/>
      <c r="H1" s="29"/>
      <c r="I1" s="29"/>
      <c r="J1" s="29"/>
      <c r="K1" s="29"/>
      <c r="L1" s="29"/>
      <c r="M1" s="29"/>
      <c r="N1" s="29"/>
      <c r="O1" s="29"/>
      <c r="P1" s="29"/>
      <c r="Q1" s="29"/>
      <c r="R1" s="29"/>
      <c r="S1" s="29"/>
      <c r="T1" s="29"/>
      <c r="U1" s="30"/>
    </row>
    <row r="2" spans="1:21" ht="18" x14ac:dyDescent="0.25">
      <c r="A2" s="4" t="str">
        <f>'Meta Data'!B3</f>
        <v>Manual Test Report ICO-Tests</v>
      </c>
      <c r="B2" s="5"/>
      <c r="C2" s="28"/>
      <c r="D2" s="28"/>
      <c r="E2" s="28"/>
      <c r="F2" s="28"/>
      <c r="G2" s="28"/>
      <c r="H2" s="28"/>
      <c r="I2" s="28"/>
      <c r="J2" s="28"/>
      <c r="K2" s="28"/>
      <c r="L2" s="28"/>
      <c r="M2" s="28"/>
      <c r="N2" s="28"/>
      <c r="O2" s="28"/>
      <c r="P2" s="28"/>
      <c r="Q2" s="28"/>
      <c r="R2" s="28"/>
      <c r="S2" s="28"/>
      <c r="T2" s="28"/>
      <c r="U2" s="31"/>
    </row>
    <row r="3" spans="1:21" ht="13" thickBot="1" x14ac:dyDescent="0.3">
      <c r="A3" s="32"/>
      <c r="B3" s="28"/>
      <c r="C3" s="28"/>
      <c r="D3" s="28"/>
      <c r="E3" s="28"/>
      <c r="F3" s="28"/>
      <c r="G3" s="28"/>
      <c r="H3" s="28"/>
      <c r="I3" s="28"/>
      <c r="J3" s="28"/>
      <c r="K3" s="28"/>
      <c r="L3" s="28"/>
      <c r="M3" s="28"/>
      <c r="N3" s="28"/>
      <c r="O3" s="28"/>
      <c r="P3" s="28"/>
      <c r="Q3" s="28"/>
      <c r="R3" s="28"/>
      <c r="S3" s="28"/>
      <c r="T3" s="28"/>
      <c r="U3" s="31"/>
    </row>
    <row r="4" spans="1:21" ht="13" x14ac:dyDescent="0.3">
      <c r="A4" s="35" t="s">
        <v>23</v>
      </c>
      <c r="B4" s="36">
        <v>1</v>
      </c>
      <c r="C4" s="36">
        <v>2</v>
      </c>
      <c r="D4" s="36">
        <v>3</v>
      </c>
      <c r="E4" s="36">
        <v>4</v>
      </c>
      <c r="F4" s="36">
        <v>5</v>
      </c>
      <c r="G4" s="36">
        <v>6</v>
      </c>
      <c r="H4" s="36">
        <v>7</v>
      </c>
      <c r="I4" s="36">
        <v>8</v>
      </c>
      <c r="J4" s="36">
        <v>9</v>
      </c>
      <c r="K4" s="36">
        <v>10</v>
      </c>
      <c r="L4" s="36">
        <v>11</v>
      </c>
      <c r="M4" s="36">
        <v>12</v>
      </c>
      <c r="N4" s="36">
        <v>13</v>
      </c>
      <c r="O4" s="36">
        <v>14</v>
      </c>
      <c r="P4" s="36">
        <v>15</v>
      </c>
      <c r="Q4" s="36">
        <v>16</v>
      </c>
      <c r="R4" s="36">
        <v>17</v>
      </c>
      <c r="S4" s="36">
        <v>18</v>
      </c>
      <c r="T4" s="36">
        <v>19</v>
      </c>
      <c r="U4" s="37">
        <v>20</v>
      </c>
    </row>
    <row r="5" spans="1:21" ht="13" x14ac:dyDescent="0.3">
      <c r="A5" s="33" t="s">
        <v>4</v>
      </c>
      <c r="B5" s="38" t="e">
        <f>#REF!</f>
        <v>#REF!</v>
      </c>
      <c r="C5" s="38" t="e">
        <f>#REF!</f>
        <v>#REF!</v>
      </c>
      <c r="D5" s="38" t="e">
        <f>#REF!</f>
        <v>#REF!</v>
      </c>
      <c r="E5" s="38" t="e">
        <f>#REF!</f>
        <v>#REF!</v>
      </c>
      <c r="F5" s="38" t="e">
        <f>#REF!</f>
        <v>#REF!</v>
      </c>
      <c r="G5" s="38" t="e">
        <f>#REF!</f>
        <v>#REF!</v>
      </c>
      <c r="H5" s="38"/>
      <c r="I5" s="38"/>
      <c r="J5" s="38"/>
      <c r="K5" s="38"/>
      <c r="L5" s="38"/>
      <c r="M5" s="38"/>
      <c r="N5" s="38"/>
      <c r="O5" s="38"/>
      <c r="P5" s="38"/>
      <c r="Q5" s="38"/>
      <c r="R5" s="38"/>
      <c r="S5" s="38"/>
      <c r="T5" s="38"/>
      <c r="U5" s="39"/>
    </row>
    <row r="6" spans="1:21" ht="13" x14ac:dyDescent="0.3">
      <c r="A6" s="33" t="s">
        <v>18</v>
      </c>
      <c r="B6" s="38" t="e">
        <f>#REF!</f>
        <v>#REF!</v>
      </c>
      <c r="C6" s="38" t="e">
        <f>#REF!</f>
        <v>#REF!</v>
      </c>
      <c r="D6" s="38" t="e">
        <f>#REF!</f>
        <v>#REF!</v>
      </c>
      <c r="E6" s="38" t="e">
        <f>#REF!</f>
        <v>#REF!</v>
      </c>
      <c r="F6" s="38" t="e">
        <f>#REF!</f>
        <v>#REF!</v>
      </c>
      <c r="G6" s="38" t="e">
        <f>#REF!</f>
        <v>#REF!</v>
      </c>
      <c r="H6" s="38"/>
      <c r="I6" s="38"/>
      <c r="J6" s="38"/>
      <c r="K6" s="38"/>
      <c r="L6" s="38"/>
      <c r="M6" s="38"/>
      <c r="N6" s="38"/>
      <c r="O6" s="38"/>
      <c r="P6" s="38"/>
      <c r="Q6" s="38"/>
      <c r="R6" s="38"/>
      <c r="S6" s="38"/>
      <c r="T6" s="38"/>
      <c r="U6" s="39"/>
    </row>
    <row r="7" spans="1:21" ht="13" x14ac:dyDescent="0.3">
      <c r="A7" s="33" t="s">
        <v>2</v>
      </c>
      <c r="B7" s="38" t="e">
        <f>#REF!</f>
        <v>#REF!</v>
      </c>
      <c r="C7" s="70" t="e">
        <f>#REF!</f>
        <v>#REF!</v>
      </c>
      <c r="D7" s="70" t="e">
        <f>#REF!</f>
        <v>#REF!</v>
      </c>
      <c r="E7" s="70" t="e">
        <f>#REF!</f>
        <v>#REF!</v>
      </c>
      <c r="F7" s="70" t="e">
        <f>#REF!</f>
        <v>#REF!</v>
      </c>
      <c r="G7" s="70" t="e">
        <f>#REF!</f>
        <v>#REF!</v>
      </c>
      <c r="H7" s="38"/>
      <c r="I7" s="38"/>
      <c r="J7" s="38"/>
      <c r="K7" s="38"/>
      <c r="L7" s="38"/>
      <c r="M7" s="38"/>
      <c r="N7" s="38"/>
      <c r="O7" s="38"/>
      <c r="P7" s="38"/>
      <c r="Q7" s="38"/>
      <c r="R7" s="38"/>
      <c r="S7" s="38"/>
      <c r="T7" s="38"/>
      <c r="U7" s="39"/>
    </row>
    <row r="8" spans="1:21" ht="13.5" thickBot="1" x14ac:dyDescent="0.35">
      <c r="A8" s="34" t="s">
        <v>10</v>
      </c>
      <c r="B8" s="40">
        <f>TestCycle1!$G6</f>
        <v>20</v>
      </c>
      <c r="C8" s="40" t="e">
        <f>#REF!</f>
        <v>#REF!</v>
      </c>
      <c r="D8" s="40" t="e">
        <f>#REF!</f>
        <v>#REF!</v>
      </c>
      <c r="E8" s="40" t="e">
        <f>#REF!</f>
        <v>#REF!</v>
      </c>
      <c r="F8" s="40" t="e">
        <f>#REF!</f>
        <v>#REF!</v>
      </c>
      <c r="G8" s="40" t="e">
        <f>#REF!</f>
        <v>#REF!</v>
      </c>
      <c r="H8" s="40"/>
      <c r="I8" s="40"/>
      <c r="J8" s="40"/>
      <c r="K8" s="40"/>
      <c r="L8" s="40"/>
      <c r="M8" s="40"/>
      <c r="N8" s="40"/>
      <c r="O8" s="40"/>
      <c r="P8" s="40"/>
      <c r="Q8" s="40"/>
      <c r="R8" s="40"/>
      <c r="S8" s="40"/>
      <c r="T8" s="40"/>
      <c r="U8" s="41"/>
    </row>
    <row r="9" spans="1:21" x14ac:dyDescent="0.25">
      <c r="B9" s="42"/>
      <c r="C9" s="42"/>
      <c r="D9" s="42"/>
      <c r="E9" s="42"/>
      <c r="F9" s="42"/>
      <c r="G9" s="42"/>
      <c r="H9" s="42"/>
      <c r="I9" s="42"/>
      <c r="J9" s="42"/>
      <c r="K9" s="42"/>
      <c r="L9" s="42"/>
      <c r="M9" s="42"/>
      <c r="N9" s="42"/>
      <c r="O9" s="42"/>
      <c r="P9" s="42"/>
      <c r="Q9" s="42"/>
      <c r="R9" s="42"/>
      <c r="S9" s="42"/>
      <c r="T9" s="42"/>
      <c r="U9" s="42"/>
    </row>
    <row r="36" spans="1:1" ht="15.5" x14ac:dyDescent="0.35">
      <c r="A36" s="44"/>
    </row>
  </sheetData>
  <phoneticPr fontId="0" type="noConversion"/>
  <conditionalFormatting sqref="B8:U9">
    <cfRule type="cellIs" dxfId="34" priority="10" stopIfTrue="1" operator="greaterThan">
      <formula>0</formula>
    </cfRule>
  </conditionalFormatting>
  <conditionalFormatting sqref="B5:U5">
    <cfRule type="cellIs" dxfId="33" priority="11" stopIfTrue="1" operator="greaterThan">
      <formula>0</formula>
    </cfRule>
  </conditionalFormatting>
  <conditionalFormatting sqref="B6:U6">
    <cfRule type="cellIs" dxfId="32" priority="12" stopIfTrue="1" operator="greaterThan">
      <formula>0</formula>
    </cfRule>
  </conditionalFormatting>
  <conditionalFormatting sqref="B7:U7">
    <cfRule type="cellIs" dxfId="31" priority="13" stopIfTrue="1" operator="greaterThan">
      <formula>0</formula>
    </cfRule>
  </conditionalFormatting>
  <conditionalFormatting sqref="I5 K5 M5 O5 Q5 S5 U5">
    <cfRule type="cellIs" dxfId="30" priority="7" stopIfTrue="1" operator="greaterThan">
      <formula>0</formula>
    </cfRule>
  </conditionalFormatting>
  <pageMargins left="0.78740157480314965" right="0.78740157480314965" top="1.1811023622047245" bottom="0.94488188976377963" header="0.19685039370078741" footer="0.39370078740157483"/>
  <pageSetup paperSize="9" orientation="landscape" r:id="rId1"/>
  <headerFooter alignWithMargins="0">
    <oddHeader>&amp;L&amp;"Tahoma,Fett"
Manual Test&amp;R&amp;G</oddHeader>
    <oddFooter>&amp;L&amp;8If printed, this document is an uncontrolled copy.
&amp;C&amp;8Confidential
&amp;R&amp;8 Page &amp;P of &amp;N
Template: 00TE00134 V03 - released
File: &amp;F / Sheet: &amp;A</oddFooter>
  </headerFooter>
  <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theme="1" tint="0.249977111117893"/>
    <pageSetUpPr fitToPage="1"/>
  </sheetPr>
  <dimension ref="A1:T42"/>
  <sheetViews>
    <sheetView tabSelected="1" zoomScale="90" zoomScaleNormal="90" workbookViewId="0">
      <pane xSplit="1" ySplit="10" topLeftCell="B18" activePane="bottomRight" state="frozen"/>
      <selection pane="topRight" activeCell="B1" sqref="B1"/>
      <selection pane="bottomLeft" activeCell="A11" sqref="A11"/>
      <selection pane="bottomRight" activeCell="E18" sqref="E18"/>
    </sheetView>
  </sheetViews>
  <sheetFormatPr defaultColWidth="11.453125" defaultRowHeight="12.5" x14ac:dyDescent="0.25"/>
  <cols>
    <col min="1" max="1" width="9.6328125" style="62" customWidth="1"/>
    <col min="2" max="2" width="35.6328125" customWidth="1"/>
    <col min="3" max="3" width="40.6328125" customWidth="1"/>
    <col min="4" max="4" width="20" hidden="1" customWidth="1"/>
    <col min="5" max="5" width="23.453125" customWidth="1"/>
    <col min="6" max="6" width="10.453125" customWidth="1"/>
    <col min="7" max="7" width="4.54296875" customWidth="1"/>
    <col min="8" max="8" width="8.6328125" hidden="1" customWidth="1"/>
    <col min="9" max="9" width="45.54296875" customWidth="1"/>
    <col min="10" max="10" width="28" hidden="1" customWidth="1"/>
  </cols>
  <sheetData>
    <row r="1" spans="1:10" ht="18.5" thickBot="1" x14ac:dyDescent="0.3">
      <c r="A1" s="57">
        <f>'Meta Data'!$D$6</f>
        <v>0</v>
      </c>
      <c r="B1" s="111"/>
      <c r="C1" s="98" t="s">
        <v>119</v>
      </c>
      <c r="D1" s="51"/>
      <c r="E1" s="65"/>
      <c r="F1" s="67" t="s">
        <v>9</v>
      </c>
      <c r="G1" s="27"/>
      <c r="H1" s="3"/>
      <c r="I1" s="101"/>
      <c r="J1" s="104"/>
    </row>
    <row r="2" spans="1:10" ht="18" x14ac:dyDescent="0.25">
      <c r="A2" s="66" t="s">
        <v>16</v>
      </c>
      <c r="B2" s="112"/>
      <c r="C2" s="98" t="s">
        <v>138</v>
      </c>
      <c r="D2" s="52"/>
      <c r="E2" s="8"/>
      <c r="F2" s="63" t="s">
        <v>4</v>
      </c>
      <c r="G2" s="6">
        <f>COUNTIF($F$11:$F$100,$F2)</f>
        <v>11</v>
      </c>
      <c r="H2" s="7">
        <v>1</v>
      </c>
      <c r="I2" s="101"/>
      <c r="J2" s="105"/>
    </row>
    <row r="3" spans="1:10" ht="18" x14ac:dyDescent="0.25">
      <c r="A3" s="66" t="s">
        <v>17</v>
      </c>
      <c r="B3" s="113"/>
      <c r="C3" s="99">
        <f ca="1">TODAY()</f>
        <v>43593</v>
      </c>
      <c r="D3" s="52"/>
      <c r="E3" s="8"/>
      <c r="F3" s="63" t="s">
        <v>18</v>
      </c>
      <c r="G3" s="6">
        <f>COUNTIF($F$11:$F$100,$F3)</f>
        <v>0</v>
      </c>
      <c r="H3" s="7">
        <v>2</v>
      </c>
      <c r="I3" s="101"/>
      <c r="J3" s="105"/>
    </row>
    <row r="4" spans="1:10" ht="27" customHeight="1" x14ac:dyDescent="0.25">
      <c r="A4" s="66" t="s">
        <v>20</v>
      </c>
      <c r="B4" s="112"/>
      <c r="C4" s="98" t="s">
        <v>74</v>
      </c>
      <c r="D4" s="52"/>
      <c r="E4" s="8"/>
      <c r="F4" s="63" t="s">
        <v>2</v>
      </c>
      <c r="G4" s="6">
        <f>COUNTIF($F$11:$F$100,$F4)</f>
        <v>0</v>
      </c>
      <c r="H4" s="9">
        <v>3</v>
      </c>
      <c r="I4" s="102"/>
      <c r="J4" s="106"/>
    </row>
    <row r="5" spans="1:10" ht="18" x14ac:dyDescent="0.25">
      <c r="A5" s="69" t="str">
        <f>'Meta Data'!B3</f>
        <v>Manual Test Report ICO-Tests</v>
      </c>
      <c r="B5" s="97"/>
      <c r="C5" s="53"/>
      <c r="D5" s="53"/>
      <c r="E5" s="8"/>
      <c r="F5" s="63" t="s">
        <v>21</v>
      </c>
      <c r="G5" s="6">
        <f>COUNTIF($F$11:$F$100,$F5)</f>
        <v>1</v>
      </c>
      <c r="H5" s="9">
        <v>4</v>
      </c>
      <c r="I5" s="102"/>
      <c r="J5" s="106"/>
    </row>
    <row r="6" spans="1:10" ht="13.5" thickBot="1" x14ac:dyDescent="0.3">
      <c r="A6" s="10"/>
      <c r="B6" s="10"/>
      <c r="C6" s="54"/>
      <c r="D6" s="54"/>
      <c r="E6" s="11"/>
      <c r="F6" s="68" t="s">
        <v>10</v>
      </c>
      <c r="G6" s="12">
        <f>IF((COUNTA($C$11:$C$100)-$G$2-$G$3-$G$4-$G$5)&gt;0,COUNTA($C$11:$C$100)-$G$2-$G$3-$G$4-$G$5,0)</f>
        <v>20</v>
      </c>
      <c r="H6" s="13"/>
      <c r="I6" s="64"/>
      <c r="J6" s="107"/>
    </row>
    <row r="7" spans="1:10" ht="13" x14ac:dyDescent="0.25">
      <c r="A7" s="58"/>
      <c r="B7" s="16"/>
      <c r="C7" s="17"/>
      <c r="D7" s="17"/>
      <c r="E7" s="17"/>
      <c r="F7" s="14"/>
      <c r="G7" s="14"/>
      <c r="H7" s="15"/>
      <c r="I7" s="103"/>
      <c r="J7" s="108"/>
    </row>
    <row r="8" spans="1:10" ht="13" x14ac:dyDescent="0.25">
      <c r="A8" s="58"/>
      <c r="B8" s="16"/>
      <c r="C8" s="17"/>
      <c r="D8" s="17"/>
      <c r="E8" s="17"/>
      <c r="F8" s="18"/>
      <c r="G8" s="18"/>
      <c r="H8" s="15"/>
      <c r="I8" s="103"/>
      <c r="J8" s="108"/>
    </row>
    <row r="9" spans="1:10" ht="13.5" thickBot="1" x14ac:dyDescent="0.3">
      <c r="A9" s="59"/>
      <c r="B9" s="19"/>
      <c r="C9" s="20"/>
      <c r="D9" s="20"/>
      <c r="E9" s="20"/>
      <c r="F9" s="21"/>
      <c r="G9" s="21"/>
      <c r="H9" s="21"/>
      <c r="I9" s="103"/>
      <c r="J9" s="109"/>
    </row>
    <row r="10" spans="1:10" ht="26.5" thickBot="1" x14ac:dyDescent="0.3">
      <c r="A10" s="60" t="s">
        <v>11</v>
      </c>
      <c r="B10" s="22" t="s">
        <v>22</v>
      </c>
      <c r="C10" s="22" t="s">
        <v>1</v>
      </c>
      <c r="D10" s="22" t="s">
        <v>19</v>
      </c>
      <c r="E10" s="22" t="s">
        <v>15</v>
      </c>
      <c r="F10" s="23" t="s">
        <v>0</v>
      </c>
      <c r="G10" s="23" t="s">
        <v>3</v>
      </c>
      <c r="H10" s="23" t="s">
        <v>8</v>
      </c>
      <c r="I10" s="23" t="s">
        <v>7</v>
      </c>
      <c r="J10" s="110" t="s">
        <v>49</v>
      </c>
    </row>
    <row r="11" spans="1:10" ht="37.5" x14ac:dyDescent="0.25">
      <c r="A11" s="61">
        <v>1</v>
      </c>
      <c r="B11" s="55" t="s">
        <v>80</v>
      </c>
      <c r="C11" s="121" t="s">
        <v>75</v>
      </c>
      <c r="D11" s="26"/>
      <c r="E11" s="26"/>
      <c r="F11" s="56" t="s">
        <v>4</v>
      </c>
      <c r="G11" s="24"/>
      <c r="H11" s="24"/>
      <c r="I11" s="26"/>
      <c r="J11" s="24"/>
    </row>
    <row r="12" spans="1:10" ht="62.5" x14ac:dyDescent="0.25">
      <c r="A12" s="61">
        <v>2</v>
      </c>
      <c r="B12" s="55" t="s">
        <v>81</v>
      </c>
      <c r="C12" s="121" t="s">
        <v>76</v>
      </c>
      <c r="D12" s="26"/>
      <c r="E12" s="26"/>
      <c r="F12" s="56" t="s">
        <v>4</v>
      </c>
      <c r="G12" s="24"/>
      <c r="H12" s="24"/>
      <c r="I12" s="26"/>
      <c r="J12" s="24"/>
    </row>
    <row r="13" spans="1:10" ht="25" x14ac:dyDescent="0.25">
      <c r="A13" s="61">
        <v>3</v>
      </c>
      <c r="B13" s="55" t="s">
        <v>82</v>
      </c>
      <c r="C13" s="121" t="s">
        <v>77</v>
      </c>
      <c r="D13" s="26"/>
      <c r="E13" s="26"/>
      <c r="F13" s="56" t="s">
        <v>4</v>
      </c>
      <c r="G13" s="24"/>
      <c r="H13" s="24"/>
      <c r="I13" s="26"/>
      <c r="J13" s="24"/>
    </row>
    <row r="14" spans="1:10" x14ac:dyDescent="0.25">
      <c r="A14" s="61">
        <v>4</v>
      </c>
      <c r="B14" s="55" t="s">
        <v>83</v>
      </c>
      <c r="C14" s="121" t="s">
        <v>106</v>
      </c>
      <c r="D14" s="26"/>
      <c r="E14" s="26"/>
      <c r="F14" s="56" t="s">
        <v>4</v>
      </c>
      <c r="G14" s="24"/>
      <c r="H14" s="24"/>
      <c r="I14" s="26"/>
      <c r="J14" s="24"/>
    </row>
    <row r="15" spans="1:10" ht="25" x14ac:dyDescent="0.25">
      <c r="A15" s="61">
        <v>5</v>
      </c>
      <c r="B15" s="55" t="s">
        <v>84</v>
      </c>
      <c r="C15" s="121" t="s">
        <v>107</v>
      </c>
      <c r="D15" s="26"/>
      <c r="E15" s="26"/>
      <c r="F15" s="56" t="s">
        <v>4</v>
      </c>
      <c r="G15" s="24"/>
      <c r="H15" s="24"/>
      <c r="I15" s="120"/>
      <c r="J15" s="24"/>
    </row>
    <row r="16" spans="1:10" ht="37.5" x14ac:dyDescent="0.25">
      <c r="A16" s="61">
        <v>6</v>
      </c>
      <c r="B16" s="25" t="s">
        <v>85</v>
      </c>
      <c r="C16" s="121" t="s">
        <v>78</v>
      </c>
      <c r="D16" s="25"/>
      <c r="E16" s="26"/>
      <c r="F16" s="56" t="s">
        <v>4</v>
      </c>
      <c r="G16" s="24"/>
      <c r="H16" s="24"/>
      <c r="I16" s="26"/>
      <c r="J16" s="24"/>
    </row>
    <row r="17" spans="1:20" ht="50" x14ac:dyDescent="0.25">
      <c r="A17" s="61">
        <v>7</v>
      </c>
      <c r="B17" s="25" t="s">
        <v>86</v>
      </c>
      <c r="C17" s="121" t="s">
        <v>79</v>
      </c>
      <c r="D17" s="25"/>
      <c r="E17" s="26"/>
      <c r="F17" s="56" t="s">
        <v>4</v>
      </c>
      <c r="G17" s="24"/>
      <c r="H17" s="24"/>
      <c r="I17" s="26"/>
      <c r="J17" s="24"/>
    </row>
    <row r="18" spans="1:20" ht="50" x14ac:dyDescent="0.25">
      <c r="A18" s="61">
        <v>8</v>
      </c>
      <c r="B18" s="25" t="s">
        <v>87</v>
      </c>
      <c r="C18" s="121" t="s">
        <v>108</v>
      </c>
      <c r="D18" s="25"/>
      <c r="E18" s="26"/>
      <c r="F18" s="56" t="s">
        <v>4</v>
      </c>
      <c r="G18" s="24"/>
      <c r="H18" s="24"/>
      <c r="J18" s="24"/>
      <c r="K18" s="122"/>
    </row>
    <row r="19" spans="1:20" ht="50" x14ac:dyDescent="0.25">
      <c r="A19" s="61">
        <v>9</v>
      </c>
      <c r="B19" s="26" t="s">
        <v>88</v>
      </c>
      <c r="C19" s="121" t="s">
        <v>109</v>
      </c>
      <c r="D19" s="25"/>
      <c r="E19" s="26"/>
      <c r="F19" s="56" t="s">
        <v>21</v>
      </c>
      <c r="G19" s="24"/>
      <c r="H19" s="24"/>
      <c r="I19" s="26"/>
      <c r="J19" s="24"/>
      <c r="K19" s="122"/>
    </row>
    <row r="20" spans="1:20" ht="50" x14ac:dyDescent="0.25">
      <c r="A20" s="61">
        <v>10</v>
      </c>
      <c r="B20" s="123" t="s">
        <v>89</v>
      </c>
      <c r="C20" s="121" t="s">
        <v>110</v>
      </c>
      <c r="E20" s="26"/>
      <c r="F20" s="56"/>
      <c r="K20" s="122"/>
    </row>
    <row r="21" spans="1:20" ht="37.5" x14ac:dyDescent="0.25">
      <c r="A21" s="61">
        <v>11</v>
      </c>
      <c r="B21" s="119" t="s">
        <v>90</v>
      </c>
      <c r="C21" s="121" t="s">
        <v>111</v>
      </c>
      <c r="E21" s="26"/>
      <c r="F21" s="56"/>
      <c r="I21" s="26"/>
    </row>
    <row r="22" spans="1:20" ht="25" x14ac:dyDescent="0.25">
      <c r="A22" s="61">
        <v>12</v>
      </c>
      <c r="B22" s="119" t="s">
        <v>91</v>
      </c>
      <c r="C22" s="121" t="s">
        <v>112</v>
      </c>
      <c r="E22" s="26"/>
      <c r="F22" s="56"/>
    </row>
    <row r="23" spans="1:20" ht="25" x14ac:dyDescent="0.25">
      <c r="A23" s="61">
        <v>13</v>
      </c>
      <c r="B23" s="84" t="s">
        <v>92</v>
      </c>
      <c r="C23" s="121" t="s">
        <v>113</v>
      </c>
      <c r="E23" s="26"/>
      <c r="F23" s="56"/>
      <c r="I23" s="26"/>
    </row>
    <row r="24" spans="1:20" ht="50" x14ac:dyDescent="0.25">
      <c r="A24" s="61">
        <v>14</v>
      </c>
      <c r="B24" s="119" t="s">
        <v>93</v>
      </c>
      <c r="C24" s="121" t="s">
        <v>114</v>
      </c>
      <c r="E24" s="26"/>
      <c r="F24" s="56"/>
      <c r="I24" s="124"/>
      <c r="K24" s="133"/>
      <c r="L24" s="133"/>
      <c r="M24" s="133"/>
      <c r="N24" s="133"/>
      <c r="O24" s="133"/>
      <c r="P24" s="133"/>
      <c r="Q24" s="133"/>
      <c r="R24" s="133"/>
      <c r="S24" s="133"/>
      <c r="T24" s="133"/>
    </row>
    <row r="25" spans="1:20" ht="37.5" x14ac:dyDescent="0.25">
      <c r="A25" s="61">
        <v>15</v>
      </c>
      <c r="B25" s="119" t="s">
        <v>122</v>
      </c>
      <c r="C25" s="121" t="s">
        <v>120</v>
      </c>
      <c r="E25" s="26"/>
      <c r="F25" s="56"/>
      <c r="I25" s="124"/>
      <c r="K25" s="133"/>
      <c r="L25" s="133"/>
      <c r="M25" s="133"/>
      <c r="N25" s="133"/>
      <c r="O25" s="133"/>
      <c r="P25" s="133"/>
      <c r="Q25" s="133"/>
      <c r="R25" s="133"/>
      <c r="S25" s="133"/>
      <c r="T25" s="133"/>
    </row>
    <row r="26" spans="1:20" ht="25" x14ac:dyDescent="0.25">
      <c r="A26" s="61">
        <v>16</v>
      </c>
      <c r="B26" s="119" t="s">
        <v>121</v>
      </c>
      <c r="C26" s="121" t="s">
        <v>123</v>
      </c>
      <c r="E26" s="26"/>
      <c r="F26" s="56"/>
      <c r="I26" s="124"/>
      <c r="K26" s="133"/>
      <c r="L26" s="133"/>
      <c r="M26" s="133"/>
      <c r="N26" s="133"/>
      <c r="O26" s="133"/>
      <c r="P26" s="133"/>
      <c r="Q26" s="133"/>
      <c r="R26" s="133"/>
      <c r="S26" s="133"/>
      <c r="T26" s="133"/>
    </row>
    <row r="27" spans="1:20" ht="75" x14ac:dyDescent="0.25">
      <c r="A27" s="61">
        <v>17</v>
      </c>
      <c r="B27" s="119" t="s">
        <v>94</v>
      </c>
      <c r="C27" s="121" t="s">
        <v>115</v>
      </c>
      <c r="E27" s="26"/>
      <c r="F27" s="56"/>
      <c r="I27" s="26"/>
    </row>
    <row r="28" spans="1:20" ht="25" x14ac:dyDescent="0.25">
      <c r="A28" s="61">
        <v>18</v>
      </c>
      <c r="B28" s="123" t="s">
        <v>118</v>
      </c>
      <c r="C28" s="121" t="s">
        <v>117</v>
      </c>
      <c r="E28" s="26"/>
      <c r="F28" s="56" t="s">
        <v>4</v>
      </c>
      <c r="I28" s="26"/>
    </row>
    <row r="29" spans="1:20" ht="37.5" x14ac:dyDescent="0.25">
      <c r="A29" s="61">
        <v>19</v>
      </c>
      <c r="B29" s="119" t="s">
        <v>95</v>
      </c>
      <c r="C29" s="121" t="s">
        <v>78</v>
      </c>
      <c r="E29" s="26"/>
      <c r="F29" s="56"/>
    </row>
    <row r="30" spans="1:20" ht="50" x14ac:dyDescent="0.25">
      <c r="A30" s="61">
        <v>20</v>
      </c>
      <c r="B30" s="119" t="s">
        <v>96</v>
      </c>
      <c r="C30" s="121" t="s">
        <v>79</v>
      </c>
      <c r="E30" s="26"/>
      <c r="F30" s="56"/>
      <c r="I30" s="125"/>
    </row>
    <row r="31" spans="1:20" ht="25" x14ac:dyDescent="0.25">
      <c r="A31" s="61">
        <v>21</v>
      </c>
      <c r="B31" s="119" t="s">
        <v>97</v>
      </c>
      <c r="C31" s="121" t="s">
        <v>102</v>
      </c>
      <c r="E31" s="26"/>
      <c r="F31" s="56"/>
    </row>
    <row r="32" spans="1:20" ht="75" x14ac:dyDescent="0.25">
      <c r="A32" s="61">
        <v>22</v>
      </c>
      <c r="B32" s="119" t="s">
        <v>98</v>
      </c>
      <c r="C32" s="121" t="s">
        <v>103</v>
      </c>
      <c r="E32" s="26"/>
      <c r="F32" s="56" t="s">
        <v>4</v>
      </c>
      <c r="I32" s="26"/>
    </row>
    <row r="33" spans="1:9" ht="75" x14ac:dyDescent="0.25">
      <c r="A33" s="61">
        <v>23</v>
      </c>
      <c r="B33" s="119" t="s">
        <v>99</v>
      </c>
      <c r="C33" s="121" t="s">
        <v>116</v>
      </c>
      <c r="E33" s="26"/>
      <c r="F33" s="56" t="s">
        <v>4</v>
      </c>
    </row>
    <row r="34" spans="1:9" ht="37.5" x14ac:dyDescent="0.25">
      <c r="A34" s="61">
        <v>24</v>
      </c>
      <c r="B34" s="119" t="s">
        <v>100</v>
      </c>
      <c r="C34" s="121" t="s">
        <v>104</v>
      </c>
      <c r="E34" s="26"/>
      <c r="F34" s="56"/>
      <c r="I34" s="26"/>
    </row>
    <row r="35" spans="1:9" x14ac:dyDescent="0.25">
      <c r="A35" s="61">
        <v>25</v>
      </c>
      <c r="B35" s="119" t="s">
        <v>101</v>
      </c>
      <c r="C35" s="121" t="s">
        <v>105</v>
      </c>
      <c r="E35" s="26"/>
      <c r="F35" s="56"/>
      <c r="I35" s="26"/>
    </row>
    <row r="36" spans="1:9" ht="25" x14ac:dyDescent="0.25">
      <c r="A36" s="61">
        <v>26</v>
      </c>
      <c r="B36" s="55" t="s">
        <v>124</v>
      </c>
      <c r="C36" s="121" t="s">
        <v>125</v>
      </c>
      <c r="I36" s="26"/>
    </row>
    <row r="37" spans="1:9" ht="37.5" x14ac:dyDescent="0.25">
      <c r="A37" s="61">
        <v>27</v>
      </c>
      <c r="B37" s="55" t="s">
        <v>126</v>
      </c>
      <c r="C37" s="121" t="s">
        <v>127</v>
      </c>
      <c r="I37" s="26"/>
    </row>
    <row r="38" spans="1:9" ht="62.5" x14ac:dyDescent="0.25">
      <c r="A38" s="61">
        <v>28</v>
      </c>
      <c r="B38" s="55" t="s">
        <v>128</v>
      </c>
      <c r="C38" s="121" t="s">
        <v>129</v>
      </c>
      <c r="I38" s="26"/>
    </row>
    <row r="39" spans="1:9" ht="62.5" x14ac:dyDescent="0.25">
      <c r="A39" s="61">
        <v>29</v>
      </c>
      <c r="B39" s="55" t="s">
        <v>130</v>
      </c>
      <c r="C39" s="121" t="s">
        <v>131</v>
      </c>
      <c r="I39" s="26"/>
    </row>
    <row r="40" spans="1:9" ht="25" x14ac:dyDescent="0.25">
      <c r="A40" s="61">
        <v>30</v>
      </c>
      <c r="B40" s="26" t="s">
        <v>132</v>
      </c>
      <c r="C40" s="121" t="s">
        <v>133</v>
      </c>
      <c r="I40" s="26"/>
    </row>
    <row r="41" spans="1:9" ht="37.5" x14ac:dyDescent="0.25">
      <c r="A41" s="61">
        <v>31</v>
      </c>
      <c r="B41" s="26" t="s">
        <v>134</v>
      </c>
      <c r="C41" s="121" t="s">
        <v>135</v>
      </c>
      <c r="I41" s="26"/>
    </row>
    <row r="42" spans="1:9" ht="37.5" x14ac:dyDescent="0.25">
      <c r="A42" s="61">
        <v>32</v>
      </c>
      <c r="B42" s="26" t="s">
        <v>136</v>
      </c>
      <c r="C42" s="121" t="s">
        <v>137</v>
      </c>
      <c r="I42" s="26"/>
    </row>
  </sheetData>
  <autoFilter ref="A10:J19"/>
  <mergeCells count="3">
    <mergeCell ref="K24:T24"/>
    <mergeCell ref="K26:T26"/>
    <mergeCell ref="K25:T25"/>
  </mergeCells>
  <conditionalFormatting sqref="A12 A14 A16 A18:A20 A38 A36 A22 A32 A24 A34 A26 A28:A30 A42 A40">
    <cfRule type="expression" dxfId="29" priority="42" stopIfTrue="1">
      <formula>(F12=$F$4)</formula>
    </cfRule>
    <cfRule type="expression" dxfId="28" priority="43" stopIfTrue="1">
      <formula>(F12=$F$2)</formula>
    </cfRule>
    <cfRule type="expression" dxfId="27" priority="44" stopIfTrue="1">
      <formula>(F12=$F$3)</formula>
    </cfRule>
  </conditionalFormatting>
  <conditionalFormatting sqref="F11:F17 F27:F35">
    <cfRule type="cellIs" dxfId="26" priority="39" stopIfTrue="1" operator="equal">
      <formula>"Error"</formula>
    </cfRule>
    <cfRule type="cellIs" dxfId="25" priority="40" stopIfTrue="1" operator="equal">
      <formula>"Warning"</formula>
    </cfRule>
    <cfRule type="cellIs" dxfId="24" priority="41" stopIfTrue="1" operator="equal">
      <formula>"OK"</formula>
    </cfRule>
  </conditionalFormatting>
  <conditionalFormatting sqref="A11 A13 A15 A17 A37 A21 A31 A23 A33 A25 A35 A27 A39 A41">
    <cfRule type="expression" dxfId="23" priority="36" stopIfTrue="1">
      <formula>(F11=$F$4)</formula>
    </cfRule>
    <cfRule type="expression" dxfId="22" priority="37" stopIfTrue="1">
      <formula>(F11=$F$2)</formula>
    </cfRule>
    <cfRule type="expression" dxfId="21" priority="38" stopIfTrue="1">
      <formula>(F11=$F$3)</formula>
    </cfRule>
  </conditionalFormatting>
  <conditionalFormatting sqref="I11:I24 I27:I39">
    <cfRule type="expression" dxfId="20" priority="35">
      <formula>AND($F11&lt;&gt;"OK",$A11&lt;&gt;"",$I11="")</formula>
    </cfRule>
  </conditionalFormatting>
  <conditionalFormatting sqref="F18:F19">
    <cfRule type="cellIs" dxfId="19" priority="32" stopIfTrue="1" operator="equal">
      <formula>"Error"</formula>
    </cfRule>
    <cfRule type="cellIs" dxfId="18" priority="33" stopIfTrue="1" operator="equal">
      <formula>"Warning"</formula>
    </cfRule>
    <cfRule type="cellIs" dxfId="17" priority="34" stopIfTrue="1" operator="equal">
      <formula>"OK"</formula>
    </cfRule>
  </conditionalFormatting>
  <conditionalFormatting sqref="F20">
    <cfRule type="cellIs" dxfId="16" priority="29" stopIfTrue="1" operator="equal">
      <formula>"Error"</formula>
    </cfRule>
    <cfRule type="cellIs" dxfId="15" priority="30" stopIfTrue="1" operator="equal">
      <formula>"Warning"</formula>
    </cfRule>
    <cfRule type="cellIs" dxfId="14" priority="31" stopIfTrue="1" operator="equal">
      <formula>"OK"</formula>
    </cfRule>
  </conditionalFormatting>
  <conditionalFormatting sqref="F21:F24">
    <cfRule type="cellIs" dxfId="13" priority="26" stopIfTrue="1" operator="equal">
      <formula>"Error"</formula>
    </cfRule>
    <cfRule type="cellIs" dxfId="12" priority="27" stopIfTrue="1" operator="equal">
      <formula>"Warning"</formula>
    </cfRule>
    <cfRule type="cellIs" dxfId="11" priority="28" stopIfTrue="1" operator="equal">
      <formula>"OK"</formula>
    </cfRule>
  </conditionalFormatting>
  <conditionalFormatting sqref="I26">
    <cfRule type="expression" dxfId="10" priority="22">
      <formula>AND($F26&lt;&gt;"OK",$A26&lt;&gt;"",$I26="")</formula>
    </cfRule>
  </conditionalFormatting>
  <conditionalFormatting sqref="F26">
    <cfRule type="cellIs" dxfId="9" priority="19" stopIfTrue="1" operator="equal">
      <formula>"Error"</formula>
    </cfRule>
    <cfRule type="cellIs" dxfId="8" priority="20" stopIfTrue="1" operator="equal">
      <formula>"Warning"</formula>
    </cfRule>
    <cfRule type="cellIs" dxfId="7" priority="21" stopIfTrue="1" operator="equal">
      <formula>"OK"</formula>
    </cfRule>
  </conditionalFormatting>
  <conditionalFormatting sqref="I25">
    <cfRule type="expression" dxfId="6" priority="8">
      <formula>AND($F25&lt;&gt;"OK",$A25&lt;&gt;"",$I25="")</formula>
    </cfRule>
  </conditionalFormatting>
  <conditionalFormatting sqref="F25">
    <cfRule type="cellIs" dxfId="5" priority="5" stopIfTrue="1" operator="equal">
      <formula>"Error"</formula>
    </cfRule>
    <cfRule type="cellIs" dxfId="4" priority="6" stopIfTrue="1" operator="equal">
      <formula>"Warning"</formula>
    </cfRule>
    <cfRule type="cellIs" dxfId="3" priority="7" stopIfTrue="1" operator="equal">
      <formula>"OK"</formula>
    </cfRule>
  </conditionalFormatting>
  <conditionalFormatting sqref="I40">
    <cfRule type="expression" dxfId="2" priority="3">
      <formula>AND($F40&lt;&gt;"OK",$A40&lt;&gt;"",$I40="")</formula>
    </cfRule>
  </conditionalFormatting>
  <conditionalFormatting sqref="I41">
    <cfRule type="expression" dxfId="1" priority="2">
      <formula>AND($F41&lt;&gt;"OK",$A41&lt;&gt;"",$I41="")</formula>
    </cfRule>
  </conditionalFormatting>
  <conditionalFormatting sqref="I42">
    <cfRule type="expression" dxfId="0" priority="1">
      <formula>AND($F42&lt;&gt;"OK",$A42&lt;&gt;"",$I42="")</formula>
    </cfRule>
  </conditionalFormatting>
  <dataValidations count="2">
    <dataValidation type="list" allowBlank="1" showInputMessage="1" showErrorMessage="1" sqref="G11:G19">
      <formula1>$H$2:$H$6</formula1>
    </dataValidation>
    <dataValidation type="list" allowBlank="1" showInputMessage="1" showErrorMessage="1" sqref="F11:F35">
      <formula1>$F$2:$F$5</formula1>
    </dataValidation>
  </dataValidations>
  <pageMargins left="0.78740157480314965" right="0.78740157480314965" top="1.1811023622047245" bottom="0.94488188976377963" header="0.19685039370078741" footer="0.39370078740157483"/>
  <pageSetup paperSize="9" scale="58" fitToHeight="47" orientation="landscape"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drawing r:id="rId2"/>
  <legacy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Meta Data</vt:lpstr>
      <vt:lpstr>Readme</vt:lpstr>
      <vt:lpstr>Environment</vt:lpstr>
      <vt:lpstr>Summary</vt:lpstr>
      <vt:lpstr>TestCycle1</vt:lpstr>
      <vt:lpstr>'Meta Data'!Print_Area</vt:lpstr>
      <vt:lpstr>Summary!Print_Area</vt:lpstr>
      <vt:lpstr>TestCycle1!Print_Area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Hellebrand Wolfgang (ETAS/EPT4)</dc:creator>
  <cp:lastModifiedBy>FIXED-TERM Venkatesh Santhamma Manjunath (RBEI/BSI3)</cp:lastModifiedBy>
  <cp:lastPrinted>2012-02-08T09:51:58Z</cp:lastPrinted>
  <dcterms:created xsi:type="dcterms:W3CDTF">2011-03-08T11:35:04Z</dcterms:created>
  <dcterms:modified xsi:type="dcterms:W3CDTF">2019-05-08T11:04:24Z</dcterms:modified>
</cp:coreProperties>
</file>